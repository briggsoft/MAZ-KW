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1490" yWindow="-120" windowWidth="12600" windowHeight="10230" tabRatio="487" activeTab="2"/>
  </bookViews>
  <sheets>
    <sheet name="Original Sheet" sheetId="1" r:id="rId1"/>
    <sheet name="Good Looks" sheetId="2" r:id="rId2"/>
    <sheet name="Charger list" sheetId="3" r:id="rId3"/>
  </sheets>
  <calcPr calcId="145621"/>
</workbook>
</file>

<file path=xl/calcChain.xml><?xml version="1.0" encoding="utf-8"?>
<calcChain xmlns="http://schemas.openxmlformats.org/spreadsheetml/2006/main">
  <c r="I3" i="3" l="1"/>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2" i="3"/>
  <c r="C3" i="2"/>
  <c r="B173" i="2"/>
  <c r="C173" i="2" s="1"/>
  <c r="B92" i="2"/>
  <c r="B93" i="2"/>
  <c r="B96" i="2"/>
  <c r="C96" i="2" s="1"/>
  <c r="B97" i="2"/>
  <c r="C97" i="2" s="1"/>
  <c r="B98" i="2"/>
  <c r="C98" i="2" s="1"/>
  <c r="B99" i="2"/>
  <c r="C99" i="2" s="1"/>
  <c r="B100" i="2"/>
  <c r="C100" i="2" s="1"/>
  <c r="B101" i="2"/>
  <c r="C101" i="2" s="1"/>
  <c r="B102" i="2"/>
  <c r="C102" i="2" s="1"/>
  <c r="B103" i="2"/>
  <c r="C103" i="2" s="1"/>
  <c r="B104" i="2"/>
  <c r="C104" i="2" s="1"/>
  <c r="B105" i="2"/>
  <c r="C105" i="2" s="1"/>
  <c r="B106" i="2"/>
  <c r="C106" i="2" s="1"/>
  <c r="B107" i="2"/>
  <c r="C107" i="2" s="1"/>
  <c r="B108" i="2"/>
  <c r="C108" i="2" s="1"/>
  <c r="B109" i="2"/>
  <c r="C109" i="2" s="1"/>
  <c r="B110" i="2"/>
  <c r="C110" i="2" s="1"/>
  <c r="B111" i="2"/>
  <c r="C111" i="2" s="1"/>
  <c r="B112" i="2"/>
  <c r="C112" i="2" s="1"/>
  <c r="B113" i="2"/>
  <c r="C113" i="2" s="1"/>
  <c r="B114" i="2"/>
  <c r="C114" i="2" s="1"/>
  <c r="B115" i="2"/>
  <c r="C115" i="2" s="1"/>
  <c r="B116" i="2"/>
  <c r="C116" i="2" s="1"/>
  <c r="B117" i="2"/>
  <c r="C117" i="2" s="1"/>
  <c r="B118" i="2"/>
  <c r="C118" i="2" s="1"/>
  <c r="B119" i="2"/>
  <c r="C119" i="2" s="1"/>
  <c r="B120" i="2"/>
  <c r="C120" i="2" s="1"/>
  <c r="B121" i="2"/>
  <c r="C121" i="2" s="1"/>
  <c r="B122" i="2"/>
  <c r="C122" i="2" s="1"/>
  <c r="B123" i="2"/>
  <c r="C123" i="2" s="1"/>
  <c r="B124" i="2"/>
  <c r="C124" i="2" s="1"/>
  <c r="B125" i="2"/>
  <c r="C125" i="2" s="1"/>
  <c r="B126" i="2"/>
  <c r="C126" i="2" s="1"/>
  <c r="B127" i="2"/>
  <c r="C127" i="2" s="1"/>
  <c r="B128" i="2"/>
  <c r="C128" i="2" s="1"/>
  <c r="B129" i="2"/>
  <c r="C129" i="2" s="1"/>
  <c r="B130" i="2"/>
  <c r="C130" i="2" s="1"/>
  <c r="B131" i="2"/>
  <c r="C131" i="2" s="1"/>
  <c r="B132" i="2"/>
  <c r="C132" i="2" s="1"/>
  <c r="B133" i="2"/>
  <c r="C133" i="2" s="1"/>
  <c r="B134" i="2"/>
  <c r="C134" i="2" s="1"/>
  <c r="B135" i="2"/>
  <c r="C135" i="2" s="1"/>
  <c r="B136" i="2"/>
  <c r="C136" i="2" s="1"/>
  <c r="B137" i="2"/>
  <c r="C137" i="2" s="1"/>
  <c r="B138" i="2"/>
  <c r="C138" i="2" s="1"/>
  <c r="B139" i="2"/>
  <c r="C139" i="2" s="1"/>
  <c r="B140" i="2"/>
  <c r="C140" i="2" s="1"/>
  <c r="B141" i="2"/>
  <c r="C141" i="2" s="1"/>
  <c r="B142" i="2"/>
  <c r="C142" i="2" s="1"/>
  <c r="B143" i="2"/>
  <c r="C143" i="2" s="1"/>
  <c r="B144" i="2"/>
  <c r="C144" i="2" s="1"/>
  <c r="B145" i="2"/>
  <c r="C145" i="2" s="1"/>
  <c r="B146" i="2"/>
  <c r="C146" i="2" s="1"/>
  <c r="B147" i="2"/>
  <c r="C147" i="2" s="1"/>
  <c r="B148" i="2"/>
  <c r="C148" i="2" s="1"/>
  <c r="B149" i="2"/>
  <c r="C149" i="2" s="1"/>
  <c r="B150" i="2"/>
  <c r="C150" i="2" s="1"/>
  <c r="B151" i="2"/>
  <c r="C151" i="2" s="1"/>
  <c r="B152" i="2"/>
  <c r="C152" i="2" s="1"/>
  <c r="B153" i="2"/>
  <c r="C153" i="2" s="1"/>
  <c r="B154" i="2"/>
  <c r="C154" i="2" s="1"/>
  <c r="B155" i="2"/>
  <c r="C155" i="2" s="1"/>
  <c r="B156" i="2"/>
  <c r="C156" i="2" s="1"/>
  <c r="B157" i="2"/>
  <c r="C157" i="2" s="1"/>
  <c r="B158" i="2"/>
  <c r="C158" i="2" s="1"/>
  <c r="B159" i="2"/>
  <c r="C159" i="2" s="1"/>
  <c r="B160" i="2"/>
  <c r="C160" i="2" s="1"/>
  <c r="B161" i="2"/>
  <c r="C161" i="2" s="1"/>
  <c r="B162" i="2"/>
  <c r="C162" i="2" s="1"/>
  <c r="B163" i="2"/>
  <c r="C163" i="2" s="1"/>
  <c r="B164" i="2"/>
  <c r="C164" i="2" s="1"/>
  <c r="B165" i="2"/>
  <c r="C165" i="2" s="1"/>
  <c r="B166" i="2"/>
  <c r="C166" i="2" s="1"/>
  <c r="B167" i="2"/>
  <c r="C167" i="2" s="1"/>
  <c r="B168" i="2"/>
  <c r="C168" i="2" s="1"/>
  <c r="B169" i="2"/>
  <c r="C169" i="2" s="1"/>
  <c r="B170" i="2"/>
  <c r="C170" i="2" s="1"/>
  <c r="B171" i="2"/>
  <c r="C171" i="2" s="1"/>
  <c r="B172" i="2"/>
  <c r="C172" i="2" s="1"/>
  <c r="B2" i="2" l="1"/>
  <c r="C2" i="2" s="1"/>
  <c r="B3" i="2"/>
  <c r="B4" i="2"/>
  <c r="C4" i="2" s="1"/>
  <c r="B5" i="2"/>
  <c r="C5" i="2" s="1"/>
  <c r="B6" i="2"/>
  <c r="C6" i="2" s="1"/>
  <c r="B7" i="2"/>
  <c r="C7" i="2" s="1"/>
  <c r="B8" i="2"/>
  <c r="C8" i="2" s="1"/>
  <c r="B9" i="2"/>
  <c r="C9" i="2" s="1"/>
  <c r="B10" i="2"/>
  <c r="C10" i="2" s="1"/>
  <c r="B11" i="2"/>
  <c r="C11" i="2" s="1"/>
  <c r="B12" i="2"/>
  <c r="C12" i="2" s="1"/>
  <c r="B13" i="2"/>
  <c r="C13" i="2" s="1"/>
  <c r="B14" i="2"/>
  <c r="C14" i="2" s="1"/>
  <c r="B15" i="2"/>
  <c r="C15" i="2" s="1"/>
  <c r="B16" i="2"/>
  <c r="C16" i="2" s="1"/>
  <c r="B17" i="2"/>
  <c r="C17" i="2" s="1"/>
  <c r="B18" i="2"/>
  <c r="C18" i="2" s="1"/>
  <c r="B19" i="2"/>
  <c r="C19" i="2" s="1"/>
  <c r="B20" i="2"/>
  <c r="C20" i="2" s="1"/>
  <c r="B21" i="2"/>
  <c r="C21" i="2" s="1"/>
  <c r="B22" i="2"/>
  <c r="C22" i="2" s="1"/>
  <c r="B23" i="2"/>
  <c r="C23" i="2" s="1"/>
  <c r="B24" i="2"/>
  <c r="C24" i="2" s="1"/>
  <c r="B25" i="2"/>
  <c r="C25" i="2" s="1"/>
  <c r="B26" i="2"/>
  <c r="C26" i="2" s="1"/>
  <c r="B27" i="2"/>
  <c r="C27" i="2" s="1"/>
  <c r="B28" i="2"/>
  <c r="C28" i="2" s="1"/>
  <c r="B29" i="2"/>
  <c r="C29" i="2" s="1"/>
  <c r="B30" i="2"/>
  <c r="C30" i="2" s="1"/>
  <c r="B31" i="2"/>
  <c r="C31" i="2" s="1"/>
  <c r="B32" i="2"/>
  <c r="C32" i="2" s="1"/>
  <c r="B33" i="2"/>
  <c r="C33" i="2" s="1"/>
  <c r="B34" i="2"/>
  <c r="C34" i="2" s="1"/>
  <c r="B35" i="2"/>
  <c r="C35" i="2" s="1"/>
  <c r="B36" i="2"/>
  <c r="C36" i="2" s="1"/>
  <c r="B37" i="2"/>
  <c r="C37" i="2" s="1"/>
  <c r="B38" i="2"/>
  <c r="C38" i="2" s="1"/>
  <c r="B39" i="2"/>
  <c r="C39" i="2" s="1"/>
  <c r="B40" i="2"/>
  <c r="C40" i="2" s="1"/>
  <c r="B41" i="2"/>
  <c r="C41" i="2" s="1"/>
  <c r="B42" i="2"/>
  <c r="C42" i="2" s="1"/>
  <c r="B43" i="2"/>
  <c r="C43" i="2" s="1"/>
  <c r="B44" i="2"/>
  <c r="C44" i="2" s="1"/>
  <c r="B45" i="2"/>
  <c r="C45" i="2" s="1"/>
  <c r="B46" i="2"/>
  <c r="C46" i="2" s="1"/>
  <c r="B47" i="2"/>
  <c r="C47" i="2" s="1"/>
  <c r="B48" i="2"/>
  <c r="C48" i="2" s="1"/>
  <c r="B49" i="2"/>
  <c r="C49" i="2" s="1"/>
  <c r="B50" i="2"/>
  <c r="C50" i="2" s="1"/>
  <c r="B51" i="2"/>
  <c r="C51" i="2" s="1"/>
  <c r="B52" i="2"/>
  <c r="C52" i="2" s="1"/>
  <c r="B53" i="2"/>
  <c r="C53" i="2" s="1"/>
  <c r="B54" i="2"/>
  <c r="C54" i="2" s="1"/>
  <c r="B55" i="2"/>
  <c r="C55" i="2" s="1"/>
  <c r="B56" i="2"/>
  <c r="C56" i="2" s="1"/>
  <c r="B57" i="2"/>
  <c r="C57" i="2" s="1"/>
  <c r="B58" i="2"/>
  <c r="C58" i="2" s="1"/>
  <c r="B59" i="2"/>
  <c r="C59" i="2" s="1"/>
  <c r="B60" i="2"/>
  <c r="C60" i="2" s="1"/>
  <c r="B61" i="2"/>
  <c r="C61" i="2" s="1"/>
  <c r="B62" i="2"/>
  <c r="C62" i="2" s="1"/>
  <c r="B63" i="2"/>
  <c r="C63" i="2" s="1"/>
  <c r="B64" i="2"/>
  <c r="C64" i="2" s="1"/>
  <c r="B65" i="2"/>
  <c r="C65" i="2" s="1"/>
  <c r="B66" i="2"/>
  <c r="C66" i="2" s="1"/>
  <c r="B67" i="2"/>
  <c r="C67" i="2" s="1"/>
  <c r="B68" i="2"/>
  <c r="C68" i="2" s="1"/>
  <c r="B69" i="2"/>
  <c r="C69" i="2" s="1"/>
  <c r="B70" i="2"/>
  <c r="C70" i="2" s="1"/>
  <c r="B71" i="2"/>
  <c r="C71" i="2" s="1"/>
  <c r="B72" i="2"/>
  <c r="C72" i="2" s="1"/>
  <c r="B73" i="2"/>
  <c r="C73" i="2" s="1"/>
  <c r="B74" i="2"/>
  <c r="C74" i="2" s="1"/>
  <c r="B75" i="2"/>
  <c r="C75" i="2" s="1"/>
  <c r="B76" i="2"/>
  <c r="C76" i="2" s="1"/>
  <c r="B77" i="2"/>
  <c r="C77" i="2" s="1"/>
  <c r="B78" i="2"/>
  <c r="C78" i="2" s="1"/>
  <c r="B79" i="2"/>
  <c r="C79" i="2" s="1"/>
  <c r="B80" i="2"/>
  <c r="C80" i="2" s="1"/>
  <c r="B81" i="2"/>
  <c r="C81" i="2" s="1"/>
  <c r="B82" i="2"/>
  <c r="C82" i="2" s="1"/>
  <c r="B83" i="2"/>
  <c r="C83" i="2" s="1"/>
  <c r="B84" i="2"/>
  <c r="C84" i="2" s="1"/>
  <c r="B85" i="2"/>
  <c r="C85" i="2" s="1"/>
  <c r="B86" i="2"/>
  <c r="C86" i="2" s="1"/>
  <c r="B87" i="2"/>
  <c r="C87" i="2" s="1"/>
  <c r="B88" i="2"/>
  <c r="C88" i="2" s="1"/>
  <c r="B89" i="2"/>
  <c r="C89" i="2" s="1"/>
  <c r="B90" i="2"/>
  <c r="C90" i="2" s="1"/>
  <c r="B91" i="2"/>
  <c r="C91" i="2" s="1"/>
  <c r="C92" i="2"/>
  <c r="C93" i="2"/>
  <c r="D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2" i="1"/>
  <c r="C2" i="1"/>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41" i="1"/>
  <c r="D40"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alcChain>
</file>

<file path=xl/sharedStrings.xml><?xml version="1.0" encoding="utf-8"?>
<sst xmlns="http://schemas.openxmlformats.org/spreadsheetml/2006/main" count="1667" uniqueCount="692">
  <si>
    <t>NPF975</t>
  </si>
  <si>
    <t>NPFM500H</t>
  </si>
  <si>
    <t>NPBG1</t>
  </si>
  <si>
    <t>NPFV50</t>
  </si>
  <si>
    <t>VG138</t>
  </si>
  <si>
    <t>VG121</t>
  </si>
  <si>
    <t>VF823</t>
  </si>
  <si>
    <t>VF815</t>
  </si>
  <si>
    <t>VBN260</t>
  </si>
  <si>
    <t>VBN130</t>
  </si>
  <si>
    <t>VBK180</t>
  </si>
  <si>
    <t>VBK360</t>
  </si>
  <si>
    <t>VBG6</t>
  </si>
  <si>
    <t>VBG260</t>
  </si>
  <si>
    <t>NPW126</t>
  </si>
  <si>
    <t>NPFV100</t>
  </si>
  <si>
    <t>NPFW50</t>
  </si>
  <si>
    <t>NPFV70</t>
  </si>
  <si>
    <t>NB2LH</t>
  </si>
  <si>
    <t>NPBX1</t>
  </si>
  <si>
    <t>NPBN1</t>
  </si>
  <si>
    <t>NPFH50</t>
  </si>
  <si>
    <t>NP95</t>
  </si>
  <si>
    <t>NP85</t>
  </si>
  <si>
    <t>NP50</t>
  </si>
  <si>
    <t>NP45</t>
  </si>
  <si>
    <t>NB11L</t>
  </si>
  <si>
    <t>NB10L</t>
  </si>
  <si>
    <t>NB9L</t>
  </si>
  <si>
    <t>NB7L</t>
  </si>
  <si>
    <t>NB6L</t>
  </si>
  <si>
    <t>NB5L</t>
  </si>
  <si>
    <t>NB4L</t>
  </si>
  <si>
    <t>SLB10A</t>
  </si>
  <si>
    <t>BATTERIES</t>
  </si>
  <si>
    <t>XTBCG10</t>
  </si>
  <si>
    <t>XTBCH7</t>
  </si>
  <si>
    <t>XTBCJ13</t>
  </si>
  <si>
    <t>XTBCK7</t>
  </si>
  <si>
    <t>XTBCL7</t>
  </si>
  <si>
    <t>XTBCM13</t>
  </si>
  <si>
    <t>XTBLC12</t>
  </si>
  <si>
    <t>XTBLD10</t>
  </si>
  <si>
    <t>XTBLE9</t>
  </si>
  <si>
    <t>XTBLF19</t>
  </si>
  <si>
    <t>XTBLG10</t>
  </si>
  <si>
    <t>XTBLM5</t>
  </si>
  <si>
    <t>XTBLS1</t>
  </si>
  <si>
    <t>XTBLS5</t>
  </si>
  <si>
    <t>XTBMB9</t>
  </si>
  <si>
    <t>XTBP70A</t>
  </si>
  <si>
    <t>XTBP110</t>
  </si>
  <si>
    <t>XTBP511</t>
  </si>
  <si>
    <t>XTBP718</t>
  </si>
  <si>
    <t>XTBP727FD</t>
  </si>
  <si>
    <t>XTBP808</t>
  </si>
  <si>
    <t>XTBP819</t>
  </si>
  <si>
    <t>XTBP820</t>
  </si>
  <si>
    <t>XTBP827</t>
  </si>
  <si>
    <t>XTBP828</t>
  </si>
  <si>
    <t>XTBP970G</t>
  </si>
  <si>
    <t>XTBP1030</t>
  </si>
  <si>
    <t>XTBP1310</t>
  </si>
  <si>
    <t>XTCGRD54</t>
  </si>
  <si>
    <t>XTENEL3E</t>
  </si>
  <si>
    <t>XTENEL5</t>
  </si>
  <si>
    <t>XTENEL8</t>
  </si>
  <si>
    <t>XTENEL12</t>
  </si>
  <si>
    <t>XTENEL14</t>
  </si>
  <si>
    <t>XTENEL15</t>
  </si>
  <si>
    <t>XTENEL19</t>
  </si>
  <si>
    <t>XTENEL20</t>
  </si>
  <si>
    <t>XTENEL21</t>
  </si>
  <si>
    <t>XTGPH3</t>
  </si>
  <si>
    <t>XTLI42B</t>
  </si>
  <si>
    <t>XTLI50B</t>
  </si>
  <si>
    <t>XTLI70B</t>
  </si>
  <si>
    <t>XTLI90</t>
  </si>
  <si>
    <t>XTLI90B</t>
  </si>
  <si>
    <t>XTLI109</t>
  </si>
  <si>
    <t>XTLPE6</t>
  </si>
  <si>
    <t>XTLPE8</t>
  </si>
  <si>
    <t>XTLPE10</t>
  </si>
  <si>
    <t>XTLPE12</t>
  </si>
  <si>
    <t>POUCH SIZE</t>
  </si>
  <si>
    <t>BPS</t>
  </si>
  <si>
    <t>BPL</t>
  </si>
  <si>
    <t>BPM</t>
  </si>
  <si>
    <t>NP48</t>
  </si>
  <si>
    <t>ENEL23</t>
  </si>
  <si>
    <t>BCF10</t>
  </si>
  <si>
    <t>BP1130</t>
  </si>
  <si>
    <t>NB8L</t>
  </si>
  <si>
    <t>XTLPE5</t>
  </si>
  <si>
    <t>XTBCN10</t>
  </si>
  <si>
    <t>XTENEL22</t>
  </si>
  <si>
    <t>XTENEL9</t>
  </si>
  <si>
    <t>Added XT</t>
  </si>
  <si>
    <t>Removed XT</t>
  </si>
  <si>
    <t>XTBCF10</t>
  </si>
  <si>
    <t>XTBP1130</t>
  </si>
  <si>
    <t>XTENEL23</t>
  </si>
  <si>
    <t>XTNB10L</t>
  </si>
  <si>
    <t>XTNB11L</t>
  </si>
  <si>
    <t>XTNB2LH</t>
  </si>
  <si>
    <t>XTNB4L</t>
  </si>
  <si>
    <t>XTNB5L</t>
  </si>
  <si>
    <t>XTNB6L</t>
  </si>
  <si>
    <t>XTNB7L</t>
  </si>
  <si>
    <t>XTNB8L</t>
  </si>
  <si>
    <t>XTNB9L</t>
  </si>
  <si>
    <t>XTNP45</t>
  </si>
  <si>
    <t>XTNP48</t>
  </si>
  <si>
    <t>XTNP50</t>
  </si>
  <si>
    <t>XTNP85</t>
  </si>
  <si>
    <t>XTNP95</t>
  </si>
  <si>
    <t>XTNPBG1</t>
  </si>
  <si>
    <t>XTNPBN1</t>
  </si>
  <si>
    <t>XTNPBX1</t>
  </si>
  <si>
    <t>XTNPF975</t>
  </si>
  <si>
    <t>XTNPFH50</t>
  </si>
  <si>
    <t>XTNPFM500H</t>
  </si>
  <si>
    <t>XTNPFV100</t>
  </si>
  <si>
    <t>XTNPFV50</t>
  </si>
  <si>
    <t>XTNPFV70</t>
  </si>
  <si>
    <t>XTNPFW50</t>
  </si>
  <si>
    <t>XTNPW126</t>
  </si>
  <si>
    <t>XTSLB10A</t>
  </si>
  <si>
    <t>XTVBG260</t>
  </si>
  <si>
    <t>XTVBG6</t>
  </si>
  <si>
    <t>XTVBK180</t>
  </si>
  <si>
    <t>XTVBK360</t>
  </si>
  <si>
    <t>XTVBN130</t>
  </si>
  <si>
    <t>XTVBN260</t>
  </si>
  <si>
    <t>XTVF815</t>
  </si>
  <si>
    <t>XTVF823</t>
  </si>
  <si>
    <t>XTVG121</t>
  </si>
  <si>
    <t>XTVG138</t>
  </si>
  <si>
    <t>Look These up</t>
  </si>
  <si>
    <t>Add this to 5th keywords</t>
  </si>
  <si>
    <t>Added XT and CH</t>
  </si>
  <si>
    <t>Batteries battery camera kamera camcorder dslr digital lithium lithium-ion charger rechargeable</t>
  </si>
  <si>
    <t>(with chargers)</t>
  </si>
  <si>
    <t>ENEL8</t>
  </si>
  <si>
    <t>ENEL9</t>
  </si>
  <si>
    <t>GPH3</t>
  </si>
  <si>
    <t>LI109</t>
  </si>
  <si>
    <t>LI42B</t>
  </si>
  <si>
    <t>LI50B</t>
  </si>
  <si>
    <t>LI70B</t>
  </si>
  <si>
    <t>LI90</t>
  </si>
  <si>
    <t>LI90B</t>
  </si>
  <si>
    <t>LPE10</t>
  </si>
  <si>
    <t>LPE12</t>
  </si>
  <si>
    <t>LPE5</t>
  </si>
  <si>
    <t>LPE6</t>
  </si>
  <si>
    <t>LPE8</t>
  </si>
  <si>
    <t>Keywords</t>
  </si>
  <si>
    <t>Main Keywords</t>
  </si>
  <si>
    <t>DMC-F2 DMCF2 F2 DMC-F3 DMCF3 F3 DMC-FH1 DMCFH1 FH1 DMC-FH20 DMCFH20 FH20 DMC-FH22 DMCFH22 FH22 DMC-FH3 DMCFH3 FH3 DMC-FP8 DMCFP8 FP8 DMC-FS10 DMCFS10 FS10 DMC-FS11 DMCFS11 FS11 DMC-FS12 DMCFS12 FS12 DMC-FS15 DMCFS15 FS15 DMC-FS25 DMCFS25 FS25 DMC-FS30 DMCFS30 FS30 DMC-FS33 DMCFS33 FS33 DMC-FS4 DMCFS4 FS4 DMC-FS42 DMCFS42 FS42 DMC-FS6 DMCFS6 FS6 DMC-FS62 DMCFS62 FS62 DMC-FS7 DMCFS7 FS7 DMC-FS8 DMCFS8 FS8 DMC-FT1 DMCFT1 FT1 DMC-FT2 DMCFT2 FT2 DMC-FT3 DMCFT3 FT3 DMC-FT4 DMCFT4 FT4 DMC-FX25 DMCFX25 FX25 DMC-FX40 DMCFX40 FX40 DMC-FX48 DMCFX48 FX48 DMC-FX550 DMCFX550 FX550 DMC-FX580 DMCFX580 FX580 DMC-FX60 DMCFX60 FX60 DMC-FX65 DMCFX65 FX65 DMC-FX66 DMCFX66 FX66 DMC-FX68 DMCFX68 FX68 DMC-FX70 DMCFX70 FX70 DMC-FX75 DMCFX75 FX75 DMC-FX700 DMCFX700 FX700 DMC-TS1 DMCTS1 TS1 DMC-TS2 DMCTS2 TS2 DMC-TS3 DMCTS3 TS3 DMC-TS4 DMCTS4 TS4 DMC-F2K DMCF2K F2K DMC-F2P DMCF2P F2P DMC-F2S DMCF2S F2S DMC-FP8S DMCFP8S FP8S DMC-FP8K DMCFP8K FP8K DMC-FP8R DMCFP8R FP8R DMC-FH1A DMCFH1A FH1A DMC-FH1K DMCFH1K FH1K DMC-FH1P DMCFH1P FH1P DMC-FH1S DMCFH1S FH1S DMC-FH3A DMCFH3A FH3A DMC-FH3K DMCFH3K FH3K DMC-FH3P DMCFH3P FH3P DMC-FH3S DMCFH3S FH3S DMC-FH3R DMCFH3R FH3R DMC-FH3K DMCFH3K FH3K DMC-FH20A DMCFH20A FH20A DMC-FH20K DMCFH20K FH20K DMC-FH20R DMCFH20R FH20R DMC-FH20S DMCFH20S FH20S DMC-FH20V DMCFH20V FH20V DMC-FS12A DMCFS12A FS12A DMC-FS12G DMCFS12G FS12G DMC-FS12K DMCFS12K FS12K DMC-FS12P DMCFS12P FS12P DMC-FS12S DMCFS12S FS12S DMC-FS15A DMCFS15A FS15A DMC-FS15K DMCFS15K FS15K DMC-FS15S DMCFS15S FS15S DMC-FS25K DMCFS25K FS25K DMC-FS25N DMCFS25N FS25N DMC-FS25S DMCFS25S FS25S DMC-FS4K DMCFS4K FS4K DMC-FS42K DMCFS42K FS42K DMC-FS42P DMCFS42P FS42P DMC-FS42S DMCFS42S FS42S DMC-FS62A DMCFS62A FS62A DMC-FS62K DMCFS62K FS62K DMC-FS62P DMCFS62P FS62P DMC-FS62R DMCFS62R FS62R DMC-FS62S DMCFS62S FS62S DMC-FS8S DMCFS8S FS8S DMC-FS7A DMCFS7A FS7A DMC-FS7G DMCFS7G FS7G DMC-FS7K DMCFS7K FS7K DMC-FS7P DMCFS7P FS7P DMC-FS7S DMCFS7S FS7S DMC-FX48K DMCFX48K FX48K DMC-FX48S DMCFX48S FX48S DMC-FX580K DMCFX580K FX580K DMC-FX580S DMCFX580S FX580S DMC-FX75K DMCFX75K FX75K DMC-FX75S DMCFX75S FX75S DMC-TS2A DMCTS2A TS2A DMC-TS2D DMCTS2D TS2D DMC-TS2S DMCTS2S TS2S DMC-TS2Y DMCTS2Y TS2Y DMC-TS1D DMCTS1D TS1D DMC-TS1G DMCTS1G TS1G DMC-TS1S DMCTS1S TS1S</t>
  </si>
  <si>
    <t>DMW-BCF10 / CGA-S/106B is the best replacement for the following OEM battery part numbers: Panasonic DMW-BCF10, DMWBCF10, DMW-BCF10PP, DMWBCF10PP, DMW-BCF10E, DMWBCF10E, CGA-S106B, CGA-S106, CGA-S/106C, CGAS106, CGA-S/106B</t>
  </si>
  <si>
    <t>More keywords</t>
  </si>
  <si>
    <t>Rm'ed XT</t>
  </si>
  <si>
    <t>Samsung NX-300 NX300 NX-500 NX500 NX-2000 NX2000</t>
  </si>
  <si>
    <t>ED-BP1130 EDBP1130 BP1130</t>
  </si>
  <si>
    <t>NIKON COOLPIX B700 B700 COOLPIX P600 P600 COOLPIX P610 P610 COOLPIX P900 P900 COOLPIX S810c S810c EN-EL23 ENEL23</t>
  </si>
  <si>
    <t xml:space="preserve"> Powershot SX40 HS SX40HS  Powershot SX50 HS SX50HS  Powershot SX60 HS SX60HS  Powershot G1 X  G1X  Powershot G3 X  G3X  Powershot G15  G15  Powershot G16  G16</t>
  </si>
  <si>
    <t>Canon NB10L Canon NB-10L Canon 5668B001</t>
  </si>
  <si>
    <t>PowerShot ELPH 110 HS 110 HS ELPH 110 HS PowerShot 110 HS PowerShot ELPH 115 IS 115 IS ELPH 115 IS PowerShot 115 PowerShot ELPH 130 IS ELPH 130 IS PowerShot 130 IS PowerShot ELPH 135 ELPH 135 PowerShot 135 PowerShot ELPH 140 IS ELPH 140 IS PowerShot 140 IS PowerShot ELPH 150 IS ELPH 150 IS PowerShot 150 IS PowerShot ELPH 160 ELPH 160 PowerShot 160 PowerShot ELPH 170 IS ELPH 170 IS PowerShot 170 IS PowerShot ELPH 320 HS 320 HS ELPH 320 HS PowerShot 320 HS PowerShot ELPH 340 HS 340 HS ELPH 340 HS PowerShot 340 HS PowerShot ELPH 350 HS 350 HS ELPH 350 HS PowerShot 350 HS IXUS 240 HS 240 HS 240HS PowerShot A2300 A2300 PowerShot A2400 IS A2400 IS A2400 PowerShot A2500 A2500 PowerShot A2600 A2600 PowerShot A3400 IS A3400 IS A3400 PowerShot A3500 IS A3500 IS A3500 PowerShot A4000 IS A4000 IS A4000 IS A4000 PowerShot SX400 IS SX400 IS SX400 IS SX400 PowerShot SX410 IS SX410 IS SX410 IS SX410 NB11L NB-11L NB-11LH NB11LH</t>
  </si>
  <si>
    <t>PowerShot S30 /  S30  PowerShot S40 /  S40  PowerShot S45 / S45  PowerShot S50 / S50  PowerShot S55 /  S55  PowerShot S60 / S60  PowerShot S70 / S70  PowerShot S80 /  S80  PowerShot G7 /  G7  PowerShot G9 /  G9  DC310  DC320  DC330  DC410  DC420  HV20  HG10  Digital Rebel XT /  Rebel XT /  XT  Digital Rebel XTi / Rebel XTi /  XTi  EOS Kiss Digital N  EOS-350D EOS 350D /  350D  EOS-400D EOS 400D /  440D  Optura 30 / Optura 30  Optura 40 / Optura 40  Optura 50 / Optura 50  Optura 400 / Optura 400  Optura 500 / Optura 500  Optura 60 / Optura 60  ZR-100 / ZR100  ZR-200 / ZR200  ZR-300 / ZR300  ZR-400 / ZR400  ZR-500 / ZR500  ZR-600 / ZR600  ZR-700 / ZR700  Elura 40MC / Elura 40MC  Elura 50 / Elura 50  Elura 60 / Elura 60  Elura 65 / Elura 65  Elura 70 / Elura 70  Elura 80 / Elura 80  Elura 85 / Elura 85  Elura 90 / Elura 90  FVM20 / FVM20  FVM30 / FVM30  FVM100 KIT / FVM100  FVM200 / FVM200  FV500 / FV 500  IXY DV3 / IXY DV3  IXY DVM3 / IXY DMV3  IXY DV5 / IXY DV 5  MV5 / MV 5  MV5i / MV 5i  MV5iMC MV5i MC  MV6iMC MV6i MC  MV800 MV-800  MV830 MV-830  MV830i MV-830i  MV850i MV-850i  MV880X MV-880X  MV920 MV-920  MVX20i MV X20i MVX-20i  MVX25i MV X25i MVX-25i  MVX30i MV X30i MVX-30i  MVX35i MV X35i MVX-35i  MVX40i MV X40i MVX-40i  MVX45i MV X45i MVX-45i  MVX200 MV X200 MVX-200  MVX200i MV X200i MVX-200i  MVX250i MV X250i MVX-250i  MVX300i MV X300i MVX-300i  MVX330i MV X330i MVX-330i  MVX350i MV X350i MVX-350i  VIXIA HF R10 HFR10  VIXIA HF R11 HFR11 VIXIA HF R100 HFR100</t>
  </si>
  <si>
    <t>ELPH 100 HS, 100HS ELPH 300 HS, 300HS ELPH 310 HS, 310HS ELPH 330 HS, 330HS Canon PowerShot TX1 Canon Digital Series Digital 40 Digital 50 Canon PowerShot SD Series Powershot SD40 Powershot SD30 PowerShot SD30 Digital ELPH Powershot SD200 Powershot SD300 Powershot SD400 Powershot SD430 Powershot SD430 Wireless Powershot SD450 Powershot SD600 Powershot SD630 Powershot SD750 Powershot SD780 Powershot SD940 IS Powershot SD960 Powershot SD960 IS Digital ELPH Powershot SD1000 Powershot SD1100 IS Powershot SD1100 IS Digital ELPH Powershot SD1400 IS Canon IXY Digital Series IXY Digital 10 IXY Digital 40 IXY Digital 45 IXY Digital 50 IXY Digital 55 IXY Digital 60 IXY Digital 70 IXY Digital 80 IXY Digital 90 IXY Digital L3 IXY Digital L4 IXY Digital Wireless Canon Digital IXUS Series Digital IXUS iZoom, IXUS i Zoom Digital IXUS i7 Zoom Digital IXUS Wireless Digital IXUS 30 Digital IXUS 40 Digital IXUS 50 Digital IXUS 55 Digital IXUS 60 Digital IXUS 65 Digital IXUS 70 Digital IXUS 75 Digital IXUS 80 IS Digital IXUS 100 IS Digital IXUS 110 IS Digital IXUS 120 IS Digital IXUS 130</t>
  </si>
  <si>
    <t>Canon NB4L Canon NB-4L Battery-Biz B-9645 BatteryValues B-9645 Lenmar DLC-4L DigiPower BP-CN4L DSMiller B-9645 Energizer ER-D150 Hi-Capacity B-9645 Maxell B-9645 Maxell DC3787 Power Battery BP-CN4L Sakar BP-NB4.</t>
  </si>
  <si>
    <t>Powershot S110 Canon S110 Powershot SD700 IS SD700IS Powershot SD700 IS Digital ELPH Powershot SD790 IS SD790IS Powershot SD790 IS Digital ELPH Powershot SD800 IS SD800IS Powershot SD800 IS Digital ELPH Powershot SD850 IS SD850IS Powershot SD850 IS Digital ELPH Powershot SD870 IS SD870IS Powershot SD870 IS Digital ELPH Powershot SD880 IS SD880IS Powershot SD880 IS Digital ELPH Powershot SD890 IS SD890IS Powershot SD890 IS Digital ELPH Powershot SD900 Powershot SD950 IS SD950IS Powershot SD950 IS Digital ELPH Powershot SD970 IS SD970IS Powershot SD970 IS Digital ELPH Powershot SD990 IS SD990IS Powershot SD990 IS Digital ELPH Powershot SX200 IS SX200IS Powershot SX210 IS SX210IS Powershot SX230 HS SX230HS Powershot S100 IXY Digital 910 IS 910IS IXY Digital 900 IS 900IS IXY Digital 820 IS 820IS IXY Digital 810 IS 810IS IXY Digital 800 IS 800IS IXY Digital 2000 IS 2000IS IXY Digital 1000 Digital IXUS 90 IS 90IS Digital IXUS 900 Ti 900Ti Digital IXUS 950 IS 950IS Digital IXUS 960 IS 960IS Digital IXUS 970 IS 970IS Digital IXUS 980 IS 980IS Digital IXUS 990 IS 990IS Digital IXUS 800 IS 800IS Digital IXUS 850 IS 850IS Digital IXUS 860 IS 860IS Digital IXUS 870 IS 870IS</t>
  </si>
  <si>
    <t>Canon NB5L Canon NB-5L 1135B001</t>
  </si>
  <si>
    <t>Powershot ELPH 500 HS 500HS 500 HS ELPH 500 Powershot SD770 IS SD770IS SD770 IS SD770 IS Powershot SD980 IS SD980IS SD980 IS SD980 IS Powershot SD1200 IS SD1200IS SD1200 IS SD1200 IS Powershot SD1300 IS SD1300IS SD1300 IS SD1300IS Powershot SD3500 IS SD3500IS SD3500 IS SD3500IS Powershot SD4000 IS SD4000IS SD4000 IS SD4000IS Powershot D10 D10 IS D 10 D10 Powershot D20 D20 D 20 Powershot D30 D30 Powershot S90 S90 IS PowerShot S90 Powershot S95S 95 PowerShot S95 Powershot S120 S120 Powershot S120 Powershot SX170 IS SX170 Powershot SX240 HS Powershot SX260 HS Powershot SX270 HS Powershot SX280 HS Powershot SX500 IS Powershot SX510 HS SX510 Powershot SX520 HS SX520 Powershot SX530 HS SX530 Powershot SX600 HS SX600 Powershot SX610 HS SX610 Powershot SX700 HS SX700 Powershot SX710 HS SX710 IXUS 85 IS IXUS 85 IS IXUS 95 IS IXUS 95 IS IXY Digital 25 IS Digital IXUS 200 IS Digital IXUS 210 Digital IXUS 105</t>
  </si>
  <si>
    <t>Canon NB6L Canon NB-6L Canon NB-6LH Canon NB6LH 2607B001</t>
  </si>
  <si>
    <t>Powershot G10 G10 PowerShot G10 Powershot G11 G11 PowerShot G11 Powershot G12 G12 PowerShot G12 PowerShot SX30 IS SX 30 IS SX30IS PowerShot SX 30 IS</t>
  </si>
  <si>
    <t>Canon NB7L Canon NB-7L 3153B001</t>
  </si>
  <si>
    <t>Powershot A2200 A2200 Power Shot A2200 Powershot A3000 IS A3000IS A3000 IS A3000 A3000 IS Powershot A3100 IS A3100IS A3100 IS A3100 A3100 IS Powershot A3200 IS A3200IS A3200 IS A3200 A3200 IS Powershot A3300 IS A3300IS A3300 IS A3300 A3300 IS</t>
  </si>
  <si>
    <t>Canon NB8L Canon NB-8L</t>
  </si>
  <si>
    <t>PowerShot N PowerShot N2 Powershot ELPH 510 HS, 510HS Powershot ELPH 520 HS, 520HS Powershot ELPH 530 HS, 530HS Powershot SD4500 IS, SD4500IS IXUS 1000 HS, IXUS 1000HS IXY 50S Canon NB9L NB-9L</t>
  </si>
  <si>
    <t>J10, J12, J15, J20, J25, J26, J27, J28, J29, J30, J32, J35, J37, J38, J40, J100, J110, J120, J150, J210, J250 JV100, JV105, JV150, JV200, JV205, JV250, JV255, JV300, JV500 JX200, JX205, JX210, JX250, JX255, JX280, JX290, JX295, JX300, JX305, JX310, JX315, JX320, JX330, JX335, JX350, JX355, JX360, JX370, JX375, JX380, JX390, JX400, JX405, JX420, JX440, JX500, JX520, JX530, JX550, JX580, JX590, JX600, JX650, JX660, JX680, JX700, JX710 JZ100, JZ110, JZ200, JZ250, JZ260, JZ300, JZ305, JZ310, JZ500, JZ505, JZ510 XP10, XP11, XP15, XP20, XP22, XP30, XP31, XP50, XP60, XP70, XP75, XP80, XP90 T190, T200, T205, T300, T305, T310, T350, T360, T400, T410, T500, T510, T550, T555, T560 Z10, Z20, Z30, Z31, Z33, Z35, Z37, Z70, Z71, Z80, Z81, Z90, Z91, Z100, Z110, Z115, Z200, Z250, Z300, Z700, Z707, Z800,Z808, Z900, Z909, Z950, Z1000, Z1010 Mini 90 L30, L55, L90 NP-45, NP45, NP-45A, NP45A, NP-45S, NP45S.</t>
  </si>
  <si>
    <t>Fujifilm XQ1  XQ2  NP-48 NP48</t>
  </si>
  <si>
    <t>Fujifilm NP-85, NP85 Fujifilm FinePix S1 Fujifilm FinePix SL1000 Fujifilm FinePix SL305 Fujifilm FinePix SL300 Fujifilm FinePix SL280 Fujifilm FinePix SL260 Fujifilm FinePix SL240</t>
  </si>
  <si>
    <t>Fujifilm X30 Fujifilm X100 Fujifilm X100S Fujifilm X100T Fujifilm X-S1 Fujifilm Fujifilm X30 Fujifilm X100 Fujifilm X100S Fujifilm X100T Fujifilm X-S1 Fujifilm FinePix F30 Fujifilm FinePix F31 fd, F31fd Fujifilm FinePix Real 3D W1FinePix F30 Fujifilm FinePix F31 fd, F31fd Fujifilm FinePix Real 3D W1</t>
  </si>
  <si>
    <t>Fuji NP-95, Fuji NP95</t>
  </si>
  <si>
    <t>DSC-H3, DSCH3, H3 DSC-H7, DSCH7, H7 DSC-H9, DSCH9, H9 DSC-H10, DSCH10, H10 DSC-H20, DSCH20, H20 DSC-H50, DSCH50, H50 DSC-H55, DSCH55, H55 DSC-H70, DSCH70, H70 DSC-H90, DSCH90, H90 DSC-HX5, DSCHX5, HX5 DSC-HX5V, DSCHX5V, HX5V DSC-HX7V, DSCHX7V, HX7V DSC-HX9V, DSCHX9V, HX9V DSC-HX10, DSCHX10, HX10 DSC-HX20, DSCHX20, HX20 DSC-HX30, DSCHX30, HX30 DSC-N1, DSCN1, N1 DSC-N2, DSCN2, N2 DSC-T100, DSCT100, T100 DSC-T20, DSCT20, T20 DSC-W100, DSCW100, W100 DSC-W120 DSCW120, W120 DSC-W130 DSCW130, W130 DSC-W150 DSCW150, W150 DSC-W170 DSCW170, W170 DSC-W200, DSCW200, W200 DSC-W210, DSCW210, W210 DSC-W215, DSCW215, W215 DSC-W220, DSCW220, W220 DSC-W230, DSCW230, W230 DSC-W270, DSCW270, W270 DSC-W290, DSCW290, W290 DSC-W300, DSCW300, W300 DSC-W30, DSCW30, W30 DSC-W35, DSCW35, W35 DSC-W50, DSCW50, W50 DSC-W55, DSCW55, W55 DSC-W70, DSCW70, W70 DSC-W80, DSCW80, W80 DSC-W90, DSCW90, W90 DSC-WX1, DSCWX1, WX1 DSC-WX10, DSCWX10, WX10 HDR-GW77, HDRGW77, GW77</t>
  </si>
  <si>
    <t>Sony NP-BG1, Sony NPBG1, Sony BG1, Sony NP-FG1, Sony NPFG1/M8, Sony FG1</t>
  </si>
  <si>
    <t>DSC-QX10, DSCQX10, QX10 DSC-QX30, DSCQX30, QX30 DSC-QX100, DSCQX100, QX100 DSC-TF1, DSCTF1, TF1 DSC-TX66, DSCTX66, TX66 DSC-TX200, DSCTX200, TX200 DSC-TX20, DSCTX20, TX20 DSC-TX30, DSCTX30, TX30 DSC-TX1, DSCTX1, TX1 DSC-TX10, DSCTX10, TX10 DSC-TX100, DSCTX100, TX100 DSC-TX5, DSCTX5, TX5 DSC-TX55, DSCTX55, TX55 DSC-TX7, DSCTX7, TX7 DSC-TX9, DSCTX9, TX9 DSC-T99, DSCT99, T99 DSC-T110, DSCT110, T110 DSC-W310, DSCW310, W310 DSC-W320, DSCW320, W320 DSC-W330, DSCW330, W330 DSC-W350, DSCW350, W350 DSC-W360, DSCW360, W360 DSC-W380, DSCW380, W380 DSC-W390, DSCW390, W390 DSC-W510, DSCW510, W510 DSC-W530, DSCW530, W530 DSC-W560, DSCW560, W560 DSC-W570, DSCW570, W570 DSC-W610, DSCW610, W610 DSC-W620, DSCW620, W620 DSC-W630, DSCW630, W630 DSC-W650, DSCW650, W650 DSC-W690, DSCW690, W690 DSC-W710, DSCW710, W710 DSC-W730, DSCW730, W730 DSC-W800, DSCW800, W800 DSC-W830, DSCW830, W830 DSC-WX5, DSCWX5, WX5 DSC-WX7, DSCWX7, WX7 DSC-WX9, DSCWX9, WX9 DSC-WX50, DSCWX50, WX50 DSC-WX70, DSCWX70, WX70 DSC-WX80, DSCWX80, WX80 DSC-WX100, DSCWX100, WX100 DSC-WX150, DSCWX150, WX150 DSC-WX220, DSCWX220, WX220</t>
  </si>
  <si>
    <t>Sony NP-BN1, Sony NPBN1</t>
  </si>
  <si>
    <t>Sony DSC-RX1, Sony RX1 Sony DSC-RX1R, Sony RX1R Sony DSC-RX1R II, Sony RX1R II Sony DSC-RX100, DSCRX100, Sony RX100 Sony DSC-RX100 II, DSCRX100 II, Sony RX100 II, Sony RX100 M2 Sony DSC-RX100 III, DSCRX100 III, Sony RX100 III, Sony RX100 M3 Sony DSC-RX100 IV, DSCRX100 IV, Sony RX100 IV, Sony RX100 M4 Sony DSC-WX300, DSCWX300, Sony WX300 Sony DSC-WX350, DSCWX350, Sony WX350 Sony DSC-WX500, DSCWX500, Sony WX500 Sony DSC-HX400, DSCHX400, Sony HX400 Sony DSC-H400, DSCH400, Sony H400 Sony DSC-HX300, DSCHX300, Sony HX300 Sony DSC-HX50V, DSCHX50V, Sony HX90 Sony DSC-HX90, DSCHX90, Sony HX50 Sony FDR-X1000, FDRX1000, Sony X1000 Sony HDR-AS10, HDRAS10, Sony AS10 Sony HDR-AS15, HDRAS15, Sony AS15 Sony HDR-AS20, HDRAS20, Sony AS20 Sony HDR-AS30V, HDRAS30V, Sony AS30V Sony HDR-AS100, HDRAS100, Sony AS100 Sony HDR-AS200, HDRAS200, Sony AS200 Sony HDR-CX240, HDRCX240, Sony CX240 Sony HDR-CX405, HDRCX405, Sony CX405 Sony HDR-CX440, HDRCX440, Sony CX440 Sony HDR-GW66, HDRGW66, Sony GW66 Sony HDR-MV1, HDRMV1, Sony MV1 Sony HDR-PJ275, HDRPJ275, Sony PJ275 Sony HDR-PJ440, HDRPJ440, Sony PJ440</t>
  </si>
  <si>
    <t>Sony NP-BX1, Sony NPBX</t>
  </si>
  <si>
    <t>CCD-RV100, CCDRV100, RV100 CCD-RV200, CCDRV200, RV200 CCD-SC5, CCDSC5, SC5 CCD-SC6, CCDSC6, SC6 CCD-SC7, CCDSC7, SC7 CCD-SC8, CCDSC8, SC8 CCD-SC9, CCDSC9, SC9 CCD-SC55, CCDSC55, SC55 CCD-SC65, CCDSC65, SC65 CCD-TR1, CCDTR1, TR1 CCD-TR11, CCDTR11, TR11 CCD-TR1100E, CCDTR1100E, TR1100E CCD-TR12, CCDTR12, TR12 CCD-TR18, CCDTR18, TR18 CCD-TR2, CCDTR2, TR2 CCD-TR200, CCDTR200, TR200 CCD-TR205, CCDTR205, TR205 CCD-TR215, CCDTR215, TR215 CCD-TR2200, CCDTR2200, TR2200 CCD-TR2300, CCDTR2300, TR2300 CCD-TR280, CCDTR280, TR280 CCD-TR290, CCDTR290, TR290 CCD-TR3, CCDTR3, TR3 CCD-TR300, CCDTR300, TR300 CCD-TR3000, CCDTR3000, TR3000 CCD-TR3100, CCDTR3100, TR3100 CCD-TR311, CCDTR311, TR311 CCD-TR315, CCDTR315, TR315 CCD-TR317, CCDTR317, TR317 CCD-TR3200, CCDTR3200, TR3200 CCD-TR3300, CCDTR3300, TR3300 CCD-TR411, CCDTR411, TR411 CCD-TR412, CCDTR412, TR412 CCD-TR413, CCDTR413, TR413 CCD-TR414, CCDTR414, TR414 CCD-TR415, CCDTR415, TR415 CCD-TR416, CCDTR416, TR416 CCD-TR417, CCDTR417, TR417 CCD-TR425, CCDTR425, TR425 CCD-TR427, CCDTR427, TR427 CCD-TR500, CCDTR500, TR500 CCD-TR511, CCDTR511, TR511 CCD-TR512, CCDTR512, TR512 CCD-TR515, CCDTR515, TR515 CCD-TR516, CCDTR516, TR516 CCD-TR517, CCDTR517, TR517 CCD-TR555, CCDTR555, TR555 CCD-TR57, CCDTR57, TR57 CCD-TR610, CCDTR610, TR610 CCD-TR617, CCDTR617, TR617 CCD-TR618, CCDTR618, TR618 CCD-TR640, CCDTR640, TR640 CCD-TR67, CCDTR67, TR67 CCD-TR710, CCDTR710, TR710 CCD-TR713, CCDTR713, TR713 CCD-TR716, CCDTR716, TR716 CCD-TR717, CCDTR717, TR717 CCD-TR718, CCDTR718, TR718 CCD-TR728, CCDTR728, TR728 CCD-TR730, CCDTR730, TR730 CCD-TR76, CCDTR76, TR76 CCD-TR760, CCDTR760, TR760 CCD-TR810, CCDTR810, TR810 CCD-TR818, CCDTR818, TR818 CCD-TR840, CCDTR840, TR840 CCD-TR845, CCDTR845, TR845 CCD-TR87, CCDTR87, TR87 CCD-TR910, CCDTR910, TR910 CCD-TR913, CCDTR913, TR913 CCD-TR917, CCDTR917, TR917 CCD-TR918, CCDTR918, TR918 CCD-TR930, CCDTR930, TR930 CCD-TR940, CCDTR940, TR940 CCD-TR950, CCDTR950, TR950 CCD-TR97, CCDTR97, TR97 CCD-TRT97, CCDTRT97, TRT97 CCD-TRV101, CCDTRV101, TRV101 CCD-TRV15, CCDTRV15, TRV15 CCD-TRV16, CCDTRV16, TRV16 CCD-TRV17, CCDTRV17, TRV17 CCD-TRV201, CCDTRV201, TRV201 CCD-TRV215, CCDTRV215, TRV215 CCD-TRV25, CCDTRV25, TRV25 CCD-TRV26, CCDTRV26, TRV26 CCD-TRV27, CCDTRV27, TRV27 CCD-TRV300, CCDTRV300, TRV300 CCD-TRV3000, CCDTRV3000, TRV3000 CCD-TRV315, CCDTRV315, TRV315 CCD-TRV35, CCDTRV35, TRV35 CCD-TRV36, CCDTRV36, TRV36 CCD-TRV37, CCDTRV37, TRV37 CCD-TRV4, CCDTRV4, TRV4 CCD-TRV41, CCDTRV41, TRV41 CCD-TRV43, CCDTRV43, TRV43 CCD-TRV45, CCDTRV45, TRV45 CCD-TRV46, CCDTRV46, TRV46 CCD-TRV47, CCDTRV47, TRV47 CCD-TRV48, CCDTRV48, TRV48 CCD-TRV49, CCDTRV49, TRV49 CCD-TRV51, CCDTRV51, TRV51 CCD-TRV510, CCDTRV510, TRV510 CCD-TRV517, CCDTRV517, TRV517 CCD-TRV54, CCDTRV54, TRV54 CCD-TRV55, CCDTRV55, TRV55 CCD-TRV56, CCDTRV56, TRV56 CCD-TRV57, CCDTRV57, TRV57 CCD-TRV58, CCDTRV58, TRV58 CCD-TRV59, CCDTRV59, TRV59 CCD-TRV615, CCDTRV615, TRV615 CCD-TRV62, CCDTRV62, TRV62 CCD-TRV63, CCDTRV63, TRV63 CCD-TRV65, CCDTRV65, TRV65 CCD-TRV66, CCDTRV66, TRV66 CCD-TRV67, CCDTRV67, TRV67 CCD-TRV68, CCDTRV68, TRV68 CCD-TRV71, CCDTRV71, TRV71 CCD-TRV715, CCDTRV715, TRV715 CCD-TRV716, CCDTRV716, TRV716 CCD-TRV72, CCDTRV72, TRV72 CCD-TRV720, CCDTRV720, TRV720 CCD-TRV75, CCDTRV75, TRV75 CCD-TRV78, CCDTRV78, TRV78 CCD-TRV80, CCDTRV80, TRV80 CCD-TRV81, CCDTRV81, TRV81 CCD-TRV815, CCDTRV815, TRV815 CCD-TRV82, CCDTRV82, TRV82 CCD-TRV85, CCDTRV85, TRV85 CCD-TRV86, CCDTRV86, TRV86 CCD-TRV87, CCDTRV87, TRV87 CCD-TRV88, CCDTRV88, TRV88 CCD-TRV90, CCDTRV90, TRV90 CCD-TRV91, CCDTRV91, TRV91 CCD-TRV92, CCDTRV92, TRV92 CCD-TRV93, CCDTRV93, TRV93 CCD-TRV930, CCDTRV930, TRV930 CCD-TRV94, CCDTRV94, TRV94 CCD-TRV940, CCDTRV940, TRV940 CCD-TRV95, CCDTRV95, TRV95 CCD-TRV97, CCDTRV97, TRV97 CCD-TRV98, CCDTRV98, TRV98 CCD-TRV99, CCDTRV99, TRV99 CVX-V18NS, CVXV18NS, V18NS CVX-V18NSP, CVXV18NSP, V18NSP DCR-SC100, DCRSC100, SC100 DCR-TR7, DCRTR7, TR7 DCR-TR7000, DCRTR7000, TR7000 DCR-TR7100, DCRTR7100, TR7100 DCR-TR8000, DCRTR8000, TR8000 DCR-TR8100, DCRTR8100, TR8100 DCR-TRU47, DCRTRU47, TRU47 DCR-TRV103, DCRTRV103, TRV103 DCR-TRV110, DCRTRV110, TRV110 DCR-TRV120, DCRTRV120, TRV120 DCR-TRV125, DCRTRV125, TRV125 DCR-TRV130, DCRTRV130, TRV130 DCR-TRV203, DCRTRV203, TRV203 DCR-TRV210, DCRTRV210, TRV210 DCR-TRV220, DCRTRV220, TRV220 DCR-TRV310, DCRTRV310, TRV310 DCR-TRV315, DCRTRV315, TRV315 DCR-TRV320, DCRTRV320, TRV320 DCR-TRV410, DCRTRV410, TRV410 DCR-TRV420, DCRTRV420, TRV420 DCR-TRV49, DCRTRV49, TRV49 DCR-TRV5, DCRTRV5, TRV5 DCR-TRV510, DCRTRV510, TRV510 DCR-TRV520, DCRTRV520, TRV520 DCR-TRV525, DCRTRV525, TRV525 DCR-TRV58, DCRTRV58, TRV58 DCR-TRV620, DCRTRV620, TRV620 DCR-TRV7, DCRTRV7, TRV7 DCR-TRV720, DCRTRV720, TRV720 DCR-TRV735, DCRTRV735, TRV735 DCR-TRV820, DCRTRV820, TRV820 DCR-TRV9, DCRTRV9, TRV9 DCR-TRV900, DCRTRV900, TRV900 DCR-TRV935, DCRTRV935, TRV935 DCR-TV900, DCRTV900, TV900 DCR-VX2000, DCRVX2000, VX2000 DCR-VX2001, DCRVX2001, VX2001 DCR-VX2100, DCRVX2100, VX2100 DCR-VX9, DCRVX9, VX9 DCR-VX9000, DCRVX9000, VX9000 DSR-200, DSR200 DSR-DU1, DSRDU1 DSR-PD100, DSRPD100 DSR-PD150, DSRPD150 DSR-PD170, DSRPD170 DSR-PD190, DSRPD190 DSR-V10, DSRV10 EVO-250, EVO250 FDR-AX1, FDRAX1 NEX-EA50, NEXEA50 NEX-FS100, NEXFS100 NEX-FS700, NEXFS700 GV-A100, GVA100 GV-A500, GVA500 GV-A700, GVA700 GV-HD700, GVHD700 GV-D200, GVD200 GV-D300, GVD300 GV-D700, GVD700 GV-D800, GVD800 GV-D900, GVD900 HDR-AX2000, HDRAX2000, AX2000 HDR-FX1, HDRFX1, FX1 HDR-FX1000, HDRFX1000, FX1000 HDR-FX7, HDRFX7, FX7 HVL-20DW, HVL20DW HVL-20DW2, HVL20DW2 HVL-LBPA, HVLLBPA HVL-ML20, HVLML20 HVR-DR60, HVRDR60 HVR-HD1000, HVRHD1000 HVR-M10, HVRM10 HVR-V1J, HVRV1J, V1J HVR-V1U, HVRV1U, V1U HVR-Z1, HVRZ1, Z1 HVR-Z1U, HVRZ1U, Z1U HVR-Z5, HVRZ5, Z5 HVR-Z7U, HVRZ7U, Z7U HXR-MC1500, HXRMC1500, MC1500 HXR-MC2000, HXRMC2000, MC2000 HXR-MC2500, HXRMC2500, MC2500 HXR-NX3, HXRNX3, NX3 HXR-NX5, HXRNX5, NX5 MPK-DVF4, MPKDVF4 PBD-D50, PBDD50 PBD-V30, PBDV30 PLM-100, PLM100 PLM-50, PLM50 PLM-A35, PLMA35 PLM-A55, PLMA55</t>
  </si>
  <si>
    <t>Sony NP-F950, NPF950, Sony NP-F960, NPF960, Sony NP-F970, NPF970</t>
  </si>
  <si>
    <t>Sony Alpha SLT-A57, Sony Alpha A57 Sony Alpha SLT-A58, Sony Alpha A58 Sony Alpha SLT-A65, SLTA65, A65 Sony Alpha SLT-A77, SLTA77, A77 Sony Alpha SLT-A77 II, SLTA77 II, A77 2 Sony Alpha SLT-A99, Sony Alpha A99 Sony Alpha A100, A100 Sony Alpha A200, A200 Sony Alpha A300, A300 Sony Alpha A350, A350 Sony Alpha A500, A500 Sony Alpha A550, A550 Sony Alpha A560, A560 Sony Alpha A580, A580 Sony Alpha A700, A700 Sony Alpha A850, A850 Sony Alpha A900, A900</t>
  </si>
  <si>
    <t>Sony NP-FM500H, Sony NPFM500H</t>
  </si>
  <si>
    <t>DCR-PJ5, DCRPJ5, PJ5 DCR-SR15, DCRSR15, SR15 DCR-SR20, DCRSR20, SR20 DCR-SR21, DCRSR21, SR21 DCR-SR68, DCRSR68, SR68 DCR-SR78, DCRSR78, SR78 DCR-SR88, DCRSR88, SR88 DCR-SX15, DCRSX15, SX15 DCR-SX20, DCRSX20, SX20 DCR-SX21, DCRSX21, SX21 DCR-SX33, DCRSX33, SX33 DCR-SX34, DCRSX34, SX34 DCR-SX43, DCRSX43, SX43 DCR-SX44, DCRSX44, SX44 DCR-SX45, DCRSX45, SX45 DCR-SX53, DCRSX53, SX53 DCR-SX63, DCRSX63, SX63 DCR-SX65, DCRSX65, SX65 DCR-SX83, DCRSX83, SX83 DCR-SX85, DCRSX85, SX85 Digital Recording Binoculars DEV-3 Digital Recording Binoculars DEV-5 FDR-AX33, AX33 FDR-AX100, AX100 Handycam NEX-VG10, NEXVG10, VG10 Handycam NEX-VG20, NEXVG20, VG20 Handycam NEX-VG30, NEXVG30, VG30 Handycam NEX-VG900, VG900 HDR-CX110, HDRCX110, CX110 HDR-CX130, HDRCX130, CX130 HDR-CX150, HDRCX150, CX150 HDR-CX160, HDRCX160, CX160 HDR-CX170, HDRCX170, CX170 HDR-CX190, HDRCX190, CX190 HDR-CX200, HDRCX200, CX200 HDR-CX210, HDRCX210, CX210 HDR-CX220, HDRCX220, CX220 HDR-CX230, HDRCX230, CX230 HDR-CX250, HDRCX250, CX250 HDR-CX260V, HDRCX260V, CX260V HDR-CX280, HDRCX280, CX280 HDR-CX290, HDRCX290, CX290 HDR-CX300, HDRCX300, CX300 HDR-CX320, HDRCX320, CX320 HDR-CX330, HDRCX330, CX330 HDR-CX350, HDRCX350, CX350 HDR-CX360, HDRCX360, CX360 HDR-CX370, HDRCX370, CX370 HDR-CX380, HDRCX380, CX380 HDR-CX390, HDRCX390, CX390 HDR-CX400, HDRCX400, CX400 HDR-CX410, HDRCX410, CX410 HDR-CX430, HDRCX430, CX430 HDR-CX510, HDRCX510, CX510 HDR-CX550, HDRCX550, CX550 HDR-CX560, HDRCX560, CX560 HDR-CX580, HDRCX580, CX580 HDR-CX700, HDRCX700, CX700 HDR-CX730, HDRCX730, CX730 HDR-CX740, HDRCX740, CX740 HDR-CX760, HDRCX760, CX760 HDR-CX900, HDRCX900, CX900 HDR-HC9, HDRHC9, HC9 HDR-PJ10, HDRPJ10, PJ10 HDR-PJ200, HDRPJ200, PJ200 HDR-PJ230, HDRPJ230, PJ230 HDR-PJ260, HDRPJ260, PJ260 HDR-PJ26V, HDRPJ26V, PJ26V HDR-PJ30V, HDRPJ30V, PJ30V HDR-PJ320, HDRPJ320, PJ320 HDR-PJ330, HDRPJ330, PJ330 HDR-PJ340, HDRPJ340, PJ340 HDR-PJ350, HDRPJ350, PJ350 HDR-PJ380, HDRPJ380, PJ380 HDR-PJ390, HDRPJ390, PJ390 HDR-PJ420, HDRPJ420, PJ420 HDR-PJ430, HDRPJ430, PJ430 HDR-PJ50V, HDRPJ50V, PJ50V HDR-PJ510, HDRPJ510, PJ510 HDR-PJ540, HDRPJ540, PJ540 HDR-PJ580V, HDRPJ580V, PJ580V HDR-PJ650V, HDRPJ650V, PJ650V HDR-PJ670, HDRPJ670, PJ670 HDR-PJ710V, HDRPJ710V, PJ710V HDR-PJ760V, HDRPJ760V, PJ760V HDR-PJ790V, HDRPJ790V, PJ790V HDR-PJ810, HDRPJ810, PJ810 HDR-TD10V, HDRTD10V, TD10V HDR-TD20V, HDRTD20V, TD20V HDR-TD30V, HDRTD30V, TD30V HDR-XR150, HDRXR150, XR150 HDR-XR155, HDRXR155, XR155 HDR-XR160, HDRXR160, XR160 HDR-XR260V, HDRXR260V, XR260V HDR-XR350, HDRXR350, XR350 HDR-XR550, HDRXR550, XR550 HXR-MC50, HXRMC50, MC50 HXR-NX30, HXRNX30, NX30 HXR-NX70, HXRNX70, NX70</t>
  </si>
  <si>
    <t>NP-FV100, NPFV100</t>
  </si>
  <si>
    <t>DCR-PJ5, DCRPJ5, PJ5 DCR-PJ5E, DCRPJ5E, PJ5E DCR-SR15, DCRSR15, SR15 DCR-SR15E, DCRSR15E, SR15E DCR-SR20, DCRSR20, SR20 DCR-SR20E, DCRSR20E, SR20E DCR-SR21, DCRSR21, SR21 DCR-SR21E, DCRSR21E, SR21E DCR-SR68, DCRSR68, SR68 DCR-SR78, DCRSR78, SR78 DCR-SR78E, DCRSR78E, SR78E DCR-SR88, DCRSR88, SR88 DCR-SX15, DCRSX15, SX15 DCR-SX15E, DCRSX15E, SX15E DCR-SX20, DCRSX20, SX20 DCR-SX20E, DCRSX20E, SX20E DCR-SX21, DCRSX21, SX21 DCR-SX21E, DCRSX21E, SX21E DCR-SX33, DCRSX33, SX33 DCR-SX33E, DCRSX33E, SX33E DCR-SX34, DCRSX34, SX34 DCR-SX34E, DCRSX34E, SX34E DCR-SX43, DCRSX43, SX43 DCR-SX43E, DCRSX43E, SX43E DCR-SX44, DCRSX44, SX44 DCR-SX45, DCRSX45, SX45 DCR-SX45/L, DCRSX45/L, SX45/L DCR-SX45/S, DCRSX45/S, SX45/S DCR-SX45E, DCRSX45E, SX45E DCR-SX53, DCRSX53, SX53 DCR-SX53E, DCRSX53E, SX53E DCR-SX63, DCRSX63, SX63 DCR-SX65, DCRSX65, SX65 DCR-SX83, DCRSX83, SX83 DCR-SX85, DCRSX85, SX85 DCR-SX85/S, DCRSX85/S, SX85/S DCR-SX85E, DCRSX85E, SX85E Digital Recording Binoculars DEV-3 Digital Recording Binoculars DEV-5 FDR-AX33, FDRAX33, AX33 Handycam NEX-VG10, NEXVG10, VG10 Handycam NEX-VG20, NEXVG20, VG20 Handycam NEX-VG20H, NEXVG20H, VG20H Handycam NEX-VG30, NEXVG30, VG30 Handycam NEX-VG900, VG900 HDR-CX110, HDRCX110, CX110 HDR-CX130, HDRCX130, CX130 HDR-CX150, HDRCX150, CX150 HDR-CX150E, HDRCX150E, CX150E HDR-CX160, HDRCX160, CX160 HDR-CX170, HDRCX170, CX170 HDR-CX190, HDRCX190, CX190 HDR-CX200, HDRCX200, CX200 HDR-CX210, HDRCX210, CX210 HDR-CX220, HDRCX220, CX220 HDR-CX230, HDRCX230, CX230 HDR-CX250, HDRCX250, CX250 HDR-CX260V, HDRCX260V, CX260V HDR-CX280, HDRCX280, CX280 HDR-CX290, HDRCX290, CX290 HDR-CX300, HDRCX300, CX300 HDR-CX320, HDRCX320, CX320 HDR-CX330, HDRCX330, CX330 HDR-CX350, HDRCX350, CX350 HDR-CX350E, HDRCX350E, CX350E HDR-CX350V, HDRCX350V, CX350V HDR-CX360, HDRCX360, CX360 HDR-CX370, HDRCX370, CX370 HDR-CX370V, HDRCX370V, CX370V HDR-CX380, HDRCX380, CX380 HDR-CX390, HDRCX390, CX390 HDR-CX400, HDRCX400, CX400 HDR-CX410, HDRCX410, CX410 HDR-CX430, HDRCX430, CX430 HDR-CX510, HDRCX510, CX510 HDR-CX550, HDRCX550, CX550 HDR-CX550E, HDRCX550E, CX550E HDR-CX550V, HDRCX550V, CX550V HDR-CX560, HDRCX560, CX560 HDR-CX560V, HDRCX560V, CX560V HDR-CX580, HDRCX580, CX580 HDR-CX580V, HDRCX580V, CX580V HDR-CX700, HDRCX700, CX700 HDR-CX700V, HDRCX700V, CX700V HDR-CX730, HDRCX730, CX730 HDR-CX740, HDRCX740, CX740 HDR-CX760, HDRCX760, CX760 HDR-CX760V, HDRCX760V, CX760V HDR-HC9, HDRHC9, HC9 HDR-PJ10, HDRPJ10, PJ10 HDR-PJ200, HDRPJ200, PJ200 HDR-PJ230, HDRPJ230, PJ230 HDR-PJ260, HDRPJ260, PJ260 HDR-PJ26V, HDRPJ26V, PJ26V HDR-PJ30V, HDRPJ30V, PJ30V HDR-PJ320, HDRPJ320, PJ320 HDR-PJ330, HDRPJ330, PJ330 HDR-PJ340, HDRPJ340, PJ340 HDR-PJ350, HDRPJ350, PJ350 HDR-PJ380, HDRPJ380, PJ380 HDR-PJ390, HDRPJ390, PJ390 HDR-PJ420, HDRPJ420, PJ420 HDR-PJ430, HDRPJ430, PJ430 HDR-PJ430V, HDRPJ430V, PJ430V HDR-PJ50V, HDRPJ50V, PJ50V HDR-PJ510, HDRPJ510, PJ510 HDR-PJ540, HDRPJ540, PJ540 HDR-PJ580V, HDRPJ580V, PJ580V HDR-PJ650V, HDRPJ650V, PJ650V HDR-PJ670, HDRPJ670, PJ670 HDR-PJ710V, HDRPJ710V, PJ710V HDR-PJ760V, HDRPJ760V, PJ760V HDR-PJ790V, HDRPJ790V, PJ790V HDR-PJ810, HDRPJ810, PJ810 HDR-TD10V, HDRTD10V, TD10V HDR-TD20V, HDRTD20V, TD20V HDR-TD30V, HDRTD30V, TD30V HDR-XR150, HDRXR150, XR150 HDR-XR150E, HDRXR150E, XR150E HDR-XR155, HDRXR155, XR155 HDR-XR160, HDRXR160, XR160 HDR-XR260V, HDRXR260V, XR260V HDR-XR350, HDRXR350, XR350 HDR-XR350E, HDRXR350E, XR350E HDR-XR350V, HDRXR350V, XR350V HDR-XR550, HDRXR550, XR550 HDR-XR550E, HRDXR550E, XR550E HDR-XR550V, HRDXR550V, XR550V HXR-MC50, HXRMC50, MC50 HXR-MC50E, HXRMC50E, MC50E HXR-MC50U, HXRMC50U, MC50U HXR-NX30, HXRNX30, NX30 HXR-NX70, HXRNX70, NX70</t>
  </si>
  <si>
    <t>NP-FV40, NPFV40, NP-FV50, NPFV50, NP-FV60, NPFV60, NP-FV0, NPFV30.</t>
  </si>
  <si>
    <t>NP-FV70, NPFV70</t>
  </si>
  <si>
    <t>Sony Alpha NEX-F3, Sony NEX-F3 Sony Alpha NEX-7, Sony NEX7 Sony Alpha NEX-6, Sony NEX-6 Sony Alpha NEX-5R, Sony NEX-5R Sony Alpha NEX-5T, Sony NEX-5T Sony Alpha NEX-5, Sony NEX5 Sony Alpha NEX-5N, Sony NEX5N Sony Alpha NEX-3, Sony NEX3 Sony Alpha NEX-3N, Sony NEX3N, Sony NEX-3N Sony Alpha NEX-C3, Sony NEXC3 Sony Alpha NEX-C5, Sony NEXC5 Sony Alpha SLT-A33, SLTA33 Sony Alpha SLT-A37, SLTA37 Sony Alpha SLT-A55, SLTA55 Sony Alpha A3000, Sony A3000 Sony Alpha A3500, Sony A3500 Sony Alpha A5000, Sony A5000 Sony Alpha A5100, Sony A5100 Sony Alpha A6000, Sony A6000 Sony α7, Sony Alpha 7, Sony A7 Sony α7 II, Sony Alpha 7 II, Sony A7II Sony α7R, Sony Alpha 7R, Sony A7R Sony α7R II, Sony Alpha 7R II, Sony A7RII Sony α7S, Sony Alpha 7S, Sony A7S Sony α7S II, Sony Alpha 7S II, Sony A7SII Sony Cybershot DSC-RX10, DSCRX10, RX10 Sony Cybershot DSC-RX10 II, DSCRX10II, RX10 II Sony ILCE-QX1, QX1</t>
  </si>
  <si>
    <t>Fujifilm X-A1 Fujifilm X-A2 Fujifilm X-E1 Fujifilm X-E2 Fujifilm X-M1 Fujifilm X-Pro1 Fujifilm X-T1 Fujifilm X-T1 IR Fujifilm X-T10 Fujifilm FinePix HS30EXR Fujifilm FinePix HS33EXR Fujifilm FinePix HS35EXR Fujifilm FinePix HS50EXR</t>
  </si>
  <si>
    <t>Fuji NP-W126, NPW126</t>
  </si>
  <si>
    <t>Samsung EX2F Samsung L100, L110, L120, L200, L210, L310W, L313 Samsung ES50, ES55 Samsung HZ10W, HZ15W Samsung IT100 Samsung M100, M110, M310W Samsung NV9 Samsung P800, P1000 Samsung PL50, PL51, PL55, PL57, PL60, PL65, PL70 Samsung SL102, SL105, SL202, SL203, SL310, SL310W, SL420, SL502, SL620, SL720, SL820 Samsung TL9 Samsung WB150F Samsung WB250F Samsung WB350F Samsung WB380 Samsung WB500 Samsung WB550 Samsung WB750 Samsung WB850F Samsung WB800F Samsung WB1100F Samsung WB1101F Samsung WB1102 Samsung WB2100 Samsung HMX-U100 Samsung HMX-U100UN, HMXU100UN, U100UN Samsung HMX-U100SN, HMXU100SN, U100SN</t>
  </si>
  <si>
    <t>Samsung SLB-10A, SLB10A, 4302-001221, 4302001221</t>
  </si>
  <si>
    <t>AG-AC7, AGAC7, AC7 AG-HMC40, AGHMC40, HMC40 AG-HMC70, AGHMC70, HMC70 AG-HMC150, AGHMC150, HMC150 HDC-DX1, HDCDX1, HDCDX1 HDC-DX3, HDCDX3, HDCDX3 HDC-HS100 HDC-HS100GK, HDCHS100GK, HS100GK HDC-HS20 HDC-HS20K, HDCHS20K, HS20K HDC-HS200 HDC-HS200K, HDCHS200K, HS200K HDC-HS250 HDC-HS250K, HDCHS250K, HS250K HDC-HS300 HDC-HS300K, HDCHS300K, HS300K HDC-HS700 HDC-HS700K, HDCHS700K, HS700K HDC-HS9, HDCHS9, HS9 HDC-SD100 HDC-SD100GK, HDCSD100GK, SD100GK HDC-SD200, HDCSD200, SD200 HDC-SD20 HDC-SD20K, HDCSD20K, SD20K HDC-SD3, HDCSD3, SD3 HDC-SD9, HDCSD9, SD9 HDC-SD600 HDC-SD600K, HDCSD600K, SD600K HDC-SD700 HDC-SD700K, HDCSD700K, SD700K HDC-SX5, HDCSX5, SX5 HDC-SDT750 HDC-SDT750K, HDCSDT750K, SDT750K HDC-TM20 HDC-TM20K, HDCTM20K, TM20K HDC-TM20K8, HDCTM20K8, TM20K8 HDC-TM20R, HDCTM20R, TM20R HDC-TM20S, HDCTM20S, TM20S HDC-TM300 HDC-TM300K, HDCTM300K, TM300K HDC-TM700 HDC-TM700K, HDCTM700K, TM700K PV-GS90, PVGS90, GS90 SDR-H40 SDR-H41 SDR-H50 SDR-H60 SDR-H79 SDR-H79K, SDRH79K, H79K SDR-H79P, SDRH79P, H79P SDR-H80 SDR-H80S, SDRH80S, H80S SDR-H80K, SDRH80K, H80K SDR-H80A, SDRH80A, H80A SDR-H80R, SDRH80R, H80R SDR-H90 SDR-H90K, SDRH90K, H90K VDR-D50 VDR-D50P, VDRD50P, D50P VDR-D51, VDRD51, D51</t>
  </si>
  <si>
    <t>VW-VBG260, VW-VBG260K, VW-VBG260E, VW-VBG260PP, VWVBG260, VWVBG260K, VWVBG260E, VWVBG260PP</t>
  </si>
  <si>
    <t>AG-AC7, AGAC7, AC7 AG-AC130A, AGAC130A, AC130A AG-AC160A, AGAC160A, AC160A AG-HMC40, AGHMC40, HMC40 AG-HMC70, AGHMC70, HMC70 AG-HMC150, AGHMC150, HMC150 HDC-DX1, HDCDX1, HDCDX1 HDC-DX3, HDCDX3, HDCDX3 HDC-HS100 HDC-HS100GK, HDCHS100GK, HS100GK HDC-HS20 HDC-HS20K, HDCHS20K, HS20K HDC-HS200 HDC-HS200K, HDCHS200K, HS200K HDC-HS250 HDC-HS250K, HDCHS250K, HS250K HDC-HS300 HDC-HS300K, HDCHS300K, HS300K HDC-HS700 HDC-HS700K, HDCHS700K, HS700K HDC-HS9, HDCHS9, HS9 HDC-SD100 HDC-SD100GK, HDCSD100GK, SD100GK HDC-SD200, HDCSD200, SD200 HDC-SD20 HDC-SD20K, HDCSD20K, SD20K HDC-SD3, HDCSD3, SD3 HDC-SD9, HDCSD9, SD9 HDC-SD600 HDC-SD600K, HDCSD600K, SD600K HDC-SD700 HDC-SD700K, HDCSD700K, SD700K HDC-SX5, HDCSX5, SX5 HDC-SDT750 HDC-SDT750K, HDCSDT750K, SDT750K HDC-TM20 HDC-TM20K, HDCTM20K, TM20K HDC-TM20K8, HDCTM20K8, TM20K8 HDC-TM20R, HDCTM20R, TM20R HDC-TM20S, HDCTM20S, TM20S HDC-TM300 HDC-TM300K, HDCTM300K, TM300K HDC-TM700 HDC-TM700K, HDCTM700K, TM700K PV-GS90, PVGS90, GS90 SDR-H79 SDR-H79K, SDRH79K, H79K SDR-H79P, SDRH79P, H79P SDR-H80 SDR-H80S, SDRH80S, H80S SDR-H80K, SDRH80K, H80K SDR-H80A, SDRH80A, H80A SDR-H80R, SDRH80R, H80R SDR-H90 SDR-H90K, SDRH90K, H90K VDR-D50 VDR-D50P, VDRD50P, D50P VDR-D51, VDRD51, D51</t>
  </si>
  <si>
    <t>VW-VBG6, VW-VBG6K, VW-VBG6E, VW-VBG6PP, VWVBG6, VWVBG6K, VWVBG6E, VWVBG6PP</t>
  </si>
  <si>
    <t>HC-V10 HC-V10K, HCV10K, V10K HC-V100 HC-V100K, HCV100K, V100K HC-V100M, HCV100M, V100M HC-V500 HC-V500K, HCV500K, V500K HC-V500M, HCV500M, V500M HDC-SD40 HDC-SD40K, HDCSD40K, SD40K HDC-SD60 HDC-SD60K, HDCSD60K, SD60K HDC-SD60S, HDCSD60S, SD60S HDC-SD80 HDC-SD80K, HDCSD80K, SD80K HDC-SD80S, HDCSD80S, SD80S HDC-SD80R, HDCSD80R, SD80R HDC-SD90 HDC-SD90K, HDCSD90K, SD90K HDC-SDX1 HDC-SDX1H, HDCSDX1H, SDX1H HDC-TMX1, HDCTMX1, TMX1 HDC-TM40 HDC-TM40K, HDCTM40K, TM40K HDC-TM41 HDC-TM41H, HDCTM41H, TM41H HDC-TM55 HDC-TM55K, HDCTM55K, TM55K HDC-TM60 HDC-TM60K, HDCTM60K, TM60K HDC-TM80 HDC-TM80K, HDCTM80K, TM80K HDC-TM80S, HDCTM80S, TM80S HDC-TM80R, HDCTM80R, TM80R HDC-TM90 HDC-TM90K, HDCTM90K, TM90K HDC-TMX1, HDCTMX1, TMX1 HDC-HS40 HDC-HS40K, HDCHS40K, HS40K HDC-HS60 HDC-HS60K, HDCHS60K, HS60K HDC-HS80 HDC-HS80K, HDCHS80K, HS80K SDR-H85 SDR-H85A, SDRH85A, H85A SDR-H85K, SDRH85K, H85K SDR-H85S, SDRH85S, H85S SDR-H95 SDR-H95K, SDRH95K, H95K SDR-H100 SDR-H100K, SDRH100K, H100K SDR-H100S, SDRH100S, H100S SDR-H100R, SDRH100R, H100R SDR-H101 SDR-H101K, SDRH101K, H101K SDR-H101R, SDRH101R, H101R SDR-HS60 SDR-HS60K, SDRHS60K, HS60K SDR-HS80 SDR-HS80K, SDRHS80K, HS80K SDR-S45, SDRS45, S45 SDR-S50 SDR-S50A, SDRS50A, S50A SDR-S50K, SDRS50K, S50K SDR-S50N, SDRS50N, S50N SDR-S70 SDR-S70K, SDRS70K, S70K SDR-S70S, SDRS70S, S70S SDR-S70R, SDRS70R, S70R SDR-S71 SDR-S71K, SDRS71K, S71K SDR-T50 SDR-T50K, SDRT50K, T50K SDR-T55 SDR-T55K, SDRT55K, T55K SDR-T70 SDR-T70K, SDRT70K, T70K SDR-T71 SDR-T71K, SDRT71K, T71K SDR-T76 SDR-T76K, SDRT76K, T76K</t>
  </si>
  <si>
    <t>VW-VBL090, VWVBL090, VBL090, VW-VBL90, VWVBL90, VBL90, VW-VBK180, VW-VBK180K, VW-VBK180PP, VWVBK180, VWVBK180K, VWVBK180PP, VW-VBK180E, VWVBK180E, VW-VBK360, VW-VBK360K, VW-VBK360PP, VWVBK360, VWVBK360K, VWVBK360PP, VW-VBK360E, VWVBK360E</t>
  </si>
  <si>
    <t>HC-X900, HCX900, X900 HC-X920, HCX920, X920 HDC-HS900 HDC-HS900K, HDCHS900K, HS900K HDC-SD800 HDC-SD800K, HDCSD800K, SD800K HDC-SD900 HDC-SD900K, HDCSD900K, SD900K HDC-SD909 HDC-SD909K, HDCSD909K, SD909K HDC-TM900 HDC-TM900K, HDCTM900K, TM900K</t>
  </si>
  <si>
    <t>VW-VBN130, VW-VBN130K, VW-VBN130PP, VW-VBN130E, VWVBN130, VWVBN130K, VWVBN130PP, VWVBN130E</t>
  </si>
  <si>
    <t>VW-VBN260, VW-VBN260K, VW-VBN260PP, VW-VBN260E, VWVBN260, VWVBN260K, VWVBN260PP, VWVBN260E</t>
  </si>
  <si>
    <t>GC-PX10, GCPX10, PX10 GC-PX100, GCPX100, PX100 GR-D720US, GRD720US, D720US GR-D720EK, GRD720EK, D720EK GR-D720EX, GRD720EX, D720EX GR-D720, GRD720 GR-D725US, GRD725US, D725US GR-D725EK, GRD725EK, D725EK GR-D725EX, GRD725EX, D725EX GR-D725, GRD725 GR-D726US, GRD726US, D726US GR-D726EK, GRD726EK, D726EK GR-D726EX, GRD726EX, D726EX GR-D726, GRD726 GR-D728US, GRD728US, D728US GR-D728EK, GRD728EK, D728EK GR-D728EX, GRD728EX, D728EX GR-D728, GRD728 GR-D740US, GRD740US, D740US GR-D740EK, GRD740EK, D740EK GR-D740EX, GRD740EX, D740EX GR-D740, GRD740 GR-D745US, GRD745US, D745US GR-D745EK, GRD745EK, D745EK GR-D745EX, GRD745EX, D745EX GR-D745, GRD745 GR-D746US, GRD746US, D746US GR-D746EK, GRD746EK, D746EK GR-D746EX, GRD746EX, D746EX GR-D746, GRD746 GR-D750US, GRD750US, D750US GR-D750EK, GRD750EK, D750EK GR-D750EX, GRD750EX, D750EX GR-D750, GRD750 GR-D760US, GRD760US, D760US GR-D760EK, GRD760EK, D760EK GR-D760EX, GRD760EX, D760EX GR-D760, GRD760 GR-D770US, GRD770US, D770US GR-D770EK, GRD770EK, D770EK GR-D770EX, GRD770EX, D770EX GR-D770, GRD770 GR-D770E, GRD770E, D770E GR-D770VS, GRD770VS, D770VS GR-D771US, GRD771US, D771US GR-D771EK, GRD771EK, D771EK GR-D771EX, GRD771EX, D771EX GR-D771, GRD771 GR-D775US, GRD775US, D775US GR-D775EK, GRD775EK, D775EK GR-D775EX, GRD775EX, D775EX GR-D775, GRD775 GR-D790US, GRD790US, D790US GR-D790EK, GRD790EK, D790EK GR-D790EX, GRD790EX, D790EX GR-D790, GRD790 GR-D796US, GRD796US, D796US GR-D796EK, GRD796EK, D796EK GR-D796EX, GRD796EX, D796EX GR-D796, GRD796 GR-D850US, GRD850US, D850US GR-D850EK, GRD850EK, D850EK GR-D850EX, GRD850EX, D850EX GR-D850, GRD850 GR-D870US, GRD870US, D870US GR-D870EK, GRD870EK, D870EK GR-D870EX, GRD870EX, D870EX GR-D870, GRD870 GR-D875US, GRD875US, D875US GR-D875EK, GRD875EK, D875EK GR-D875EX, GRD875EX, D875EX GR-D875, GRD875 GR-DA30US, GRDA30US, DA30US GR-DA30, GRDA30 GS-TD1, GSTD1, TD1 GY-HM70U, GYHM70U GY-HM100, GYHM100 GY-HM100U, GYHM100U GY-HM100E, GYHM100E GY-HM100EC, GYHM100EC GY-HM150, GYHM150 GY-HM150U, GYHM150U GY-HM150E, GYHM150E GY-HMZ1, GYHMZ1 GY-HMZ1E, GYHMZ1E GY-HMZ1U, GYHMZ1U Everio GZ-MG130US, GZMG130US, MG130US Everio GZ-MG130EK, GZMG130EK, MG130EK Everio GZ-MG130EX, GZMG130EX, MG130EX Everio GZ-MG130, GZMG130 Everio GZ-MG131US, GZMG131US, MG131US Everio GZ-MG131EK, GZMG131EK, MG131EK Everio GZ-MG131EX, GZMG131EX, MG131EX Everio GZ-MG131, GZMG131 Everio GZ-MG132US, GZMG132US, MG132US Everio GZ-MG132EK, GZMG132EK, MG132EK Everio GZ-MG132EX, GZMG132EX, MG132EX Everio GZ-MG132, GZMG132 Everio GZ-MG133US, GZMG133US, MG133US Everio GZ-MG133EK, GZMG133EK, MG133EK Everio GZ-MG133EX, GZMG133EX, MG133EX Everio GZ-MG133, GZMG133 Everio GZ-MG134US, GZMG134US, MG134US Everio GZ-MG134EK, GZMG134EK, MG134EK Everio GZ-MG134EX, GZMG134EX, MG134EX Everio GZ-MG134, GZMG134 Everio GZ-MG135US, GZMG135US, MG135US Everio GZ-MG135EK, GZMG135EK, MG135EK Everio GZ-MG135EX, GZMG135EX, MG135EX Everio GZ-MG135, GZMG135 Everio GZ-MG148US, GZMG148US, MG148US Everio GZ-MG148EK, GZMG148EK, MG148EK Everio GZ-MG148EX, GZMG148EX, MG148EX Everio GZ-MG148, GZMG148 Everio GZ-MG150US, GZMG150US, MG150US Everio GZ-MG150EK, GZMG150EK, MG150EK Everio GZ-MG150EX, GZMG150EX, MG150EX Everio GZ-MG150, GZMG150 Everio GZ-MG155US, GZMG155US, MG155US Everio GZ-MG155EK, GZMG155EK, MG155EK Everio GZ-MG155EX, GZMG155EX, MG155EX Everio GZ-MG155, GZMG155 Everio GZ-MG157US, GZMG157US, MG157US Everio GZ-MG157EK, GZMG157EK, MG157EK Everio GZ-MG157EX, GZMG157EX, MG157EX Everio GZ-MG157, GZMG157 Everio GZ-MG175US, GZMG175US, MG175US Everio GZ-MG175EK, GZMG175EK, MG175EK Everio GZ-MG175EX, GZMG175EX, MG175EX Everio GZ-MG175, GZMG175 Everio GZ-MG177US, GZMG177US, MG177US Everio GZ-MG177EK, GZMG177EK, MG177EK Everio GZ-MG177EX, GZMG177EX, MG177EX Everio GZ-MG177, GZMG177 Everio GZ-MG230, GZMG230, MG230 Everio GZ-MG255US, GZMG255US, MG255US Everio GZ-MG255EK, GZMG255EK, MG255EK Everio GZ-MG255EX, GZMG255EX, MG255EX Everio GZ-MG255, GZMG255 Everio GZ-MG275US, GZMG275US, MG275US Everio GZ-MG275EK, GZMG275EK, MG275EK Everio GZ-MG275EX, GZMG275EX, MG275EX Everio GZ-MG275, GZMG275 Everio GZ-MG275E, GZMG275E Everio GZ-MG330, GZMG330 Everio GZ-MG330A, GZMG330A Everio GZ-MG330H, GZMG330H Everio GZ-MG330R, GZMG330R Everio GZ-MG330HUS, GZMG330HUS, MG330HUS Everio GZ-MG330RUS, GZMG330RUS, MG330RUS Everio GZ-MG330AUS, GZMG330AUS, MG330US Everio GZ-MG335, GZMG335 Everio GZ-MG335H, GZMG335H Everio GZ-MG335W, GZMG335W Everio GZ-MG335HUS, GZMG335HUS, MG335HUS Everio GZ-MG335WUS, GZMG335WUS, MG335WUS Everio GZ-MG340, GZMG340 Everio GZ-MG340B, GZMG340B Everio GZ-MG340BUS, GZMG340BUS, MG340BUS Everio GZ-MG360, GZMG360 Everio GZ-MG360B, GZMG360B Everio GZ-MG360BUS, GZMG360BUS, MG360BUS Everio GZ-MG365, GZMG365 Everio GZ-MG365B, GZMG365B Everio GZ-MG365BUS, GZMG365BUS, MG365BUS Everio GZ-MG430, GZMG430 Everio GZ-MG430H, GZMG430H Everio GZ-MG430HUS, GZMG430HUS, MG430HUS Everio GZ-MG435, GZMG435 Everio GZ-MG435H, GZMG435H Everio GZ-MG435HUS, GZMG435HUS, MG435HUS Everio GZ-MG465, GZMG465 Everio GZ-MG465B, GZMG465B Everio GZ-MG465BUS, GZMG465BUS, MG465BUS Everio GZ-MG555US, GZMG555US, MG555US Everio GZ-MG555EK, GZMG555EK, MG555EK Everio GZ-MG555EX, GZMG555EX, MG555EX Everio GZ-MG555, GZMG555 Everio GZ-MG575US, GZMG575US, MG575US Everio GZ-MG575EK, GZMG575EK, MG575EK Everio GZ-MG575EX, GZMG575EX, MG575EX Everio GZ-MG575, GZMG575 GZ-MG630A, GZMG630A, MG630A GZ-MG630R, GZMG630R, MG630R GZ-MG630S, GZMG630S, MG630S GZ-MG630US, GZMG630US, MG630US GZ-MG670B, GZMG670B, MG670B GZ-MG670US, GZMG670US, MG670US GZ-MG680B, GZMG680B, MG680B GZ-MG680US, GZMG680US, MG680US GZ-MG730US, GZMG730US, MG730US Everio GZ-MS100, GZMS100 Everio GZ-MS100US, GZMS100US, MS100US Everio GZ-MS100RUS, GZMS100RUS, MS100RUS Everio GZ-MS100R, GZMS100R Everio GZ-MS120, GZMS120, MS120 Everio GZ-MS120A, GZMS120A, MS120A Everio GZ-MS120R, GZMS120R, MS120R Everio GZ-MS120B, GZMS120B, MS120B Everio GZ-MS130, GZMS130 Everio GZ-MS130A, GZMS130A, MS130A Everio GZ-MS130R, GZMS130R, MS130R Everio GZ-MS130B, GZMS130B, MS130B Everio GZ-HD3US, GZHD3US, HD3US Everio GZ-HD3EK, GZHD3EK, HD3EK Everio GZ-HD3EX, GZHD3EX, HD3EX Everio GZ-HD3, GZHD3 Everio GZ-HD5US, GZHD5US, HD5US Everio GZ-HD5EK, GZHD5EK, HD5EK Everio GZ-HD5EX, GZHD5EX, HD5EX Everio GZ-HD5, GZHD5 Everio GZ-HD6US, GZHD6US, HD6US Everio GZ-HD6EK, GZHD6EK, HD6EK Everio GZ-HD6EX, GZHD6EX, HD6EX Everio GZ-HD6, GZHD6 Everio GZ-HD7US, GZHD7US, HD7US Everio GZ-HD7EK, GZHD7EK, HD7EK Everio GZ-HD7EX, GZHD7EX, HD7EX Everio GZ-HD7, GZHD7 Everio GZ-HD10US, GZHD10US, HD10US Everio GZ-HD10EK, GZHD10EK, HD10EK Everio GZ-HD10EX, GZHD10EX, HD10EX Everio GZ-HD10, GZHD10 Everio GZ-HD30US, GZHD30US, HD30US Everio GZ-HD30EK, GZHD30EK, HD30EK Everio GZ-HD30EX, GZHD30EX, HD30EX Everio GZ-HD30, GZHD30 Everio GZ-HD40US, GZHD40US, HD40US Everio GZ-HD40EK, GZHD40EK, HD40EK Everio GZ-HD40EX, GZHD40EX, HD40EX Everio GZ-HD40, GZHD40 GZ-HD300, GZHD300 GZ-HD300B, GZHD300B, HD300B GZ-HD300R, GZHD300R, HD300R GZ-HD300A, GZHD300A, HD300A GZ-HD200B, GZHD200B, HD200B GZ-HD200R, GZHD200R, HD200R GZ-HD200A, GZHD200A, HD200A GZ-HM1, GZHM1, HM1 GZ-HM200, GZHM200, HM200 GZ-HM400, GZHM400, HM400 GZ-X900, GZX900, X900 Victor JVC BN-VF815U, BN-VF815, BNVF815U, BNVF815, BN-VF815US, BNVF815US, BN-VF815USM, BNVF815USM, BN-VF815JP, BNVF815JP</t>
  </si>
  <si>
    <t>Victor JVC BN-VF815U, BN-VF815, BNVF815U, BNVF815, BN-VF815US, BNVF815US, BN-VF815USM, BNVF815USM, BN-VF815JP, BNVF815JP</t>
  </si>
  <si>
    <t>GC-PX10, GCPX10, PX10 GR-D720US, GRD720US, D720US GR-D720EK, GRD720EK, D720EK GR-D720EX, GRD720EX, D720EX GR-D720, GRD720 GR-D725US, GRD725US, D725US GR-D725EK, GRD725EK, D725EK GR-D725EX, GRD725EX, D725EX GR-D725, GRD725 GR-D726US, GRD726US, D726US GR-D726EK, GRD726EK, D726EK GR-D726EX, GRD726EX, D726EX GR-D726, GRD726 GR-D728US, GRD728US, D728US GR-D728EK, GRD728EK, D728EK GR-D728EX, GRD728EX, D728EX GR-D728, GRD728 GR-D740US, GRD740US, D740US GR-D740EK, GRD740EK, D740EK GR-D740EX, GRD740EX, D740EX GR-D740, GRD740 GR-D745US, GRD745US, D745US GR-D745EK, GRD745EK, D745EK GR-D745EX, GRD745EX, D745EX GR-D745, GRD745 GR-D746US, GRD746US, D746US GR-D746EK, GRD746EK, D746EK GR-D746EX, GRD746EX, D746EX GR-D746, GRD746 GR-D750US, GRD750US, D750US GR-D750EK, GRD750EK, D750EK GR-D750EX, GRD750EX, D750EX GR-D750, GRD750 GR-D760US, GRD760US, D760US GR-D760EK, GRD760EK, D760EK GR-D760EX, GRD760EX, D760EX GR-D760, GRD760 GR-D770US, GRD770US, D770US GR-D770EK, GRD770EK, D770EK GR-D770EX, GRD770EX, D770EX GR-D770, GRD770 GR-D770E, GRD770E, D770E GR-D770VS, GRD770VS, D770VS GR-D771US, GRD771US, D771US GR-D771EK, GRD771EK, D771EK GR-D771EX, GRD771EX, D771EX GR-D771, GRD771 GR-D775US, GRD775US, D775US GR-D775EK, GRD775EK, D775EK GR-D775EX, GRD775EX, D775EX GR-D775, GRD775 GR-D790US, GRD790US, D790US GR-D790EK, GRD790EK, D790EK GR-D790EX, GRD790EX, D790EX GR-D790, GRD790 GR-D796US, GRD796US, D796US GR-D796EK, GRD796EK, D796EK GR-D796EX, GRD796EX, D796EX GR-D796, GRD796 GR-D850US, GRD850US, D850US GR-D850EK, GRD850EK, D850EK GR-D850EX, GRD850EX, D850EX GR-D850, GRD850 GR-D870US, GRD870US, D870US GR-D870EK, GRD870EK, D870EK GR-D870EX, GRD870EX, D870EX GR-D870, GRD870 GR-D875US, GRD875US, D875US GR-D875EK, GRD875EK, D875EK GR-D875EX, GRD875EX, D875EX GR-D875, GRD875 GR-DA30US, GRDA30US, DA30US GR-DA30, GRDA30 GS-TD1, GSTD1, TD1 GY-HM70U, GYHM70U GY-HM100, GYHM100 GY-HM100U, GYHM100U GY-HM100E, GYHM100E GY-HM100EC, GYHM100EC GY-HM150, GYHM150 GY-HM150U, GYHM150U GY-HM150E, GYHM150E GY-HM170U, GYHM170U GY-HMZ1, GYHMZ1 GY-HMZ1E, GYHMZ1E GY-HMZ1U, GYHMZ1U Everio GZ-MG130US, GZMG130US, MG130US Everio GZ-MG130EK, GZMG130EK, MG130EK Everio GZ-MG130EX, GZMG130EX, MG130EX Everio GZ-MG130, GZMG130 Everio GZ-MG131US, GZMG131US, MG131US Everio GZ-MG131EK, GZMG131EK, MG131EK Everio GZ-MG131EX, GZMG131EX, MG131EX Everio GZ-MG131, GZMG131 Everio GZ-MG132US, GZMG132US, MG132US Everio GZ-MG132EK, GZMG132EK, MG132EK Everio GZ-MG132EX, GZMG132EX, MG132EX Everio GZ-MG132, GZMG132 Everio GZ-MG133US, GZMG133US, MG133US Everio GZ-MG133EK, GZMG133EK, MG133EK Everio GZ-MG133EX, GZMG133EX, MG133EX Everio GZ-MG133, GZMG133 Everio GZ-MG134US, GZMG134US, MG134US Everio GZ-MG134EK, GZMG134EK, MG134EK Everio GZ-MG134EX, GZMG134EX, MG134EX Everio GZ-MG134, GZMG134 Everio GZ-MG135US, GZMG135US, MG135US Everio GZ-MG135EK, GZMG135EK, MG135EK Everio GZ-MG135EX, GZMG135EX, MG135EX Everio GZ-MG135, GZMG135 Everio GZ-MG148US, GZMG148US, MG148US Everio GZ-MG148EK, GZMG148EK, MG148EK Everio GZ-MG148EX, GZMG148EX, MG148EX Everio GZ-MG148, GZMG148 Everio GZ-MG150US, GZMG150US, MG150US Everio GZ-MG150EK, GZMG150EK, MG150EK Everio GZ-MG150EX, GZMG150EX, MG150EX Everio GZ-MG150, GZMG150 Everio GZ-MG155US, GZMG155US, MG155US Everio GZ-MG155EK, GZMG155EK, MG155EK Everio GZ-MG155EX, GZMG155EX, MG155EX Everio GZ-MG155, GZMG155 Everio GZ-MG157US, GZMG157US, MG157US Everio GZ-MG157EK, GZMG157EK, MG157EK Everio GZ-MG157EX, GZMG157EX, MG157EX Everio GZ-MG157, GZMG157 Everio GZ-MG175US, GZMG175US, MG175US Everio GZ-MG175EK, GZMG175EK, MG175EK Everio GZ-MG175EX, GZMG175EX, MG175EX Everio GZ-MG175, GZMG175 Everio GZ-MG177US, GZMG177US, MG177US Everio GZ-MG177EK, GZMG177EK, MG177EK Everio GZ-MG177EX, GZMG177EX, MG177EX Everio GZ-MG177, GZMG177 Everio GZ-MG230, GZMG230, MG230 Everio GZ-MG255US, GZMG255US, MG255US Everio GZ-MG255EK, GZMG255EK, MG255EK Everio GZ-MG255EX, GZMG255EX, MG255EX Everio GZ-MG255, GZMG255 Everio GZ-MG275US, GZMG275US, MG275US Everio GZ-MG275EK, GZMG275EK, MG275EK Everio GZ-MG275EX, GZMG275EX, MG275EX Everio GZ-MG275, GZMG275 Everio GZ-MG275E, GZMG275E Everio GZ-MG330, GZMG330 Everio GZ-MG330A, GZMG330A Everio GZ-MG330H, GZMG330H Everio GZ-MG330R, GZMG330R Everio GZ-MG330HUS, GZMG330HUS, MG330HUS Everio GZ-MG330RUS, GZMG330RUS, MG330RUS Everio GZ-MG330AUS, GZMG330AUS, MG330US Everio GZ-MG335, GZMG335 Everio GZ-MG335H, GZMG335H Everio GZ-MG335W, GZMG335W Everio GZ-MG335HUS, GZMG335HUS, MG335HUS Everio GZ-MG335WUS, GZMG335WUS, MG335WUS Everio GZ-MG340, GZMG340 Everio GZ-MG340B, GZMG340B Everio GZ-MG340BUS, GZMG340BUS, MG340BUS Everio GZ-MG360, GZMG360 Everio GZ-MG360B, GZMG360B Everio GZ-MG360BUS, GZMG360BUS, MG360BUS Everio GZ-MG365, GZMG365 Everio GZ-MG365B, GZMG365B Everio GZ-MG365BUS, GZMG365BUS, MG365BUS Everio GZ-MG430, GZMG430 Everio GZ-MG430H, GZMG430H Everio GZ-MG430HUS, GZMG430HUS, MG430HUS Everio GZ-MG435, GZMG435 Everio GZ-MG435H, GZMG435H Everio GZ-MG435HUS, GZMG435HUS, MG435HUS Everio GZ-MG465, GZMG465 Everio GZ-MG465B, GZMG465B Everio GZ-MG465BUS, GZMG465BUS, MG465BUS Everio GZ-MG555US, GZMG555US, MG555US Everio GZ-MG555EK, GZMG555EK, MG555EK Everio GZ-MG555EX, GZMG555EX, MG555EX Everio GZ-MG555, GZMG555 Everio GZ-MG575US, GZMG575US, MG575US Everio GZ-MG575EK, GZMG575EK, MG575EK Everio GZ-MG575EX, GZMG575EX, MG575EX Everio GZ-MG575, GZMG575 GZ-MG630A, GZMG630A, MG630A GZ-MG630R, GZMG630R, MG630R GZ-MG630S, GZMG630S, MG630S GZ-MG630US, GZMG630US, MG630US GZ-MG670B, GZMG670B, MG670B GZ-MG670US, GZMG670US, MG670US GZ-MG680B, GZMG680B, MG680B GZ-MG680US, GZMG680US, MG680US GZ-MG730US, GZMG730US, MG730US Everio GZ-MS100, GZMS100 Everio GZ-MS100US, GZMS100US, MS100US Everio GZ-MS100RUS, GZMS100RUS, MS100RUS Everio GZ-MS100R, GZMS100R Everio GZ-MS120, GZMS120, MS120 Everio GZ-MS120A, GZMS120A, MS120A Everio GZ-MS120R, GZMS120R, MS120R Everio GZ-MS120B, GZMS120B, MS120B Everio GZ-MS130, GZMS130 Everio GZ-MS130A, GZMS130A, MS130A Everio GZ-MS130R, GZMS130R, MS130R Everio GZ-MS130B, GZMS130B, MS130B Everio GZ-HD3US, GZHD3US, HD3US Everio GZ-HD3EK, GZHD3EK, HD3EK Everio GZ-HD3EX, GZHD3EX, HD3EX Everio GZ-HD3, GZHD3 Everio GZ-HD5US, GZHD5US, HD5US Everio GZ-HD5EK, GZHD5EK, HD5EK Everio GZ-HD5EX, GZHD5EX, HD5EX Everio GZ-HD5, GZHD5 Everio GZ-HD6US, GZHD6US, HD6US Everio GZ-HD6EK, GZHD6EK, HD6EK Everio GZ-HD6EX, GZHD6EX, HD6EX Everio GZ-HD6, GZHD6 Everio GZ-HD7US, GZHD7US, HD7US Everio GZ-HD7EK, GZHD7EK, HD7EK Everio GZ-HD7EX, GZHD7EX, HD7EX Everio GZ-HD7, GZHD7 Everio GZ-HD10US, GZHD10US, HD10US Everio GZ-HD10EK, GZHD10EK, HD10EK Everio GZ-HD10EX, GZHD10EX, HD10EX Everio GZ-HD10, GZHD10 Everio GZ-HD30US, GZHD30US, HD30US Everio GZ-HD30EK, GZHD30EK, HD30EK Everio GZ-HD30EX, GZHD30EX, HD30EX Everio GZ-HD30, GZHD30 Everio GZ-HD40US, GZHD40US, HD40US Everio GZ-HD40EK, GZHD40EK, HD40EK Everio GZ-HD40EX, GZHD40EX, HD40EX Everio GZ-HD40, GZHD40 GZ-HD300, GZHD300 GZ-HD300B, GZHD300B, HD300B GZ-HD300R, GZHD300R, HD300R GZ-HD300A, GZHD300A, HD300A GZ-HD200B, GZHD200B, HD200B GZ-HD200R, GZHD200R, HD200R GZ-HD200A, GZHD200A, HD200A GZ-HM1, GZHM1, HM1 GZ-HM200, GZHM200, HM200 GZ-HM400, GZHM400, HM400 GZ-X900, GZX900, X900</t>
  </si>
  <si>
    <t>Victor JVC BN-VF823U, BN-VF823, BNVF823U, BNVF823, BN-VF823US, BNVF823US, BN-VF823USM, BNVF823USM, BN-VF823JP, BNVF823JP</t>
  </si>
  <si>
    <t>GZ-E10, GZE10, E10 GZ-E100, GZE100, E100 GZ-E200, GZE200, E200 GZ-E205, GZE205, E205 GZ-E220, GZE220, E220 GZ-E300, GZE300, E300 GZ-E306, GZE306, E306 GZ-E505, GZ-EX210, GZEX210, EX210 GZ-EX215, GZEX215, EX215 GZ-EX250 GZ-EX250BUS, GZEX250BUS, EX250BUS GZ-EX310, GZEX310, EX310 GZ-EX355, GZEX355, EX355 GZ-EX515, GZEX515, EX515 GZ-EX555, GZEX555, EX555 GZ-GX1, GZGX1, GX1 GZ-HD500, GZHD500, HD500 GZ-HD510, GZHD510, HD510 GZ-HD520, GZHD520, HD520 GZ-HD550, GZHD550, HD550 GZ-HD620, GZHD620, HD620 GZ-HD750, GZHD750, HD750 GZ-HD760, GZHD760, HD760 GZ-HM30 GZ-HM30U, GZHM30U, HM30U GZ-HM35 GZ-HM35U, GZHM35U, HM35U GZ-HM300, GZHM300, HM300 GZ-HM310, GZHM310, HM310 GZ-HM320, GZHM320, HM320 GZ-HM330, GZHM330, HM330 GZ-HM334, GZHM334, HM334 GZ-HM335, GZHM335, HM335 GZ-HM340, GZHM340, HM340 GZ-HM350, GZHM350, HM350 GZ-HM40, GZHM40, HM40 GZ-HM430, GZHM430, HM430 GZ-HM435, GZHM435, HM435 GZ-HM440, GZHM440, HM440 GZ-HM445, GZHM445, HM445 GZ-HM446, GZHM446, HM446 GZ-HM450, GZHM450, HM450 GZ-HM50 GZ-HM50U, GZHM50U, HM50U GZ-HM550, GZHM550, HM550 GZ-HM570, GZHM570, HM570 GZ-HM65, GZHM65, HM65 GZ-HM650, GZHM650, HM650 GZ-HM655 GZHM655, HM655 GZ-HM670 GZHM670, HM670 GZ-HM690 GZHM690, HM690 GZ-HM845, GZHM845, HM845 GZ-HM860, GZHM860, HM860 GZ-HM870, GZHM870, HM870 GZ-HM880, GZHM880, HM880 GZ-HM890, GZHM890, HM890 GZ-HM960, GZHM960, HM960 GZ-HM980, GZHM980, HM980 GZ-HM990, GZHM990, HM990 GZ-MG750, GZMG750, MG750 GZ-MG760, GZMG760, MG760 GZ-MS110, GZMS110, MS110 GZ-MS118, GZMS118, MS118 GZ-MS150, GZMS150, MS150 GZ-MS210, GZMS210, MS210 GZ-MS215, GZMS215, MS215 GZ-MS216, GZMS216, MS216 GZ-MS230, GZMS230, MS230 GZ-MS240, GZMS240, MS240 GZ-MS250, GZMS250, MS250</t>
  </si>
  <si>
    <t>JVC BN-VG121, BN-VG121U, BN-VG121E, BN-VG121US, BN-VG121USM, BNVG121, BNVG121U, BNVG121E, BNVG121USM, LY37166-002B, LY37166-002C</t>
  </si>
  <si>
    <t>GZ-E10, GZE10, E10 GZ-E100, GZE100, E100 GZ-E200, GZE200, E200 GZ-E205, GZE205, E205 GZ-E220, GZE220, E220 GZ-E300, GZE300, E300 GZ-E306, GZE306, E306 GZ-E505, GZE505, E505 GZ-EX210, GZEX210, EX210 GZ-EX215, GZEX215, EX215 GZ-EX250 GZ-EX250BUS, GZEX250BUS, EX250BUS GZ-EX310, GZEX310, EX310 GZ-EX355, GZEX355, EX355 GZ-EX515, GZEX515, EX515 GZ-EX555, GZEX555, EX555 GZ-GX1, GZGX1, GX1 GZ-HD500, GZHD500, HD500 GZ-HD510, GZHD510, HD510 GZ-HD520, GZHD520, HD520 GZ-HD550, GZHD550, HD550 GZ-HD620, GZHD620, HD620 GZ-HD750, GZHD750, HD750 GZ-HD760, GZHD760, HD760 GZ-HM30 GZ-HM30U, GZHM30U, HM30U GZ-HM35 GZ-HM35U, GZHM35U, HM35U GZ-HM300, GZHM300, HM300 GZ-HM310, GZHM310, HM310 GZ-HM320, GZHM320, HM320 GZ-HM330, GZHM330, HM330 GZ-HM334, GZHM334, HM334 GZ-HM335, GZHM335, HM335 GZ-HM340, GZHM340, HM340 GZ-HM350, GZHM350, HM350 GZ-HM40, GZHM40, HM40 GZ-HM430, GZHM430, HM430 GZ-HM435, GZHM435, HM435 GZ-HM440, GZHM440, HM440 GZ-HM445, GZHM445, HM445 GZ-HM446, GZHM446, HM446 GZ-HM450, GZHM450, HM450 GZ-HM50 GZ-HM50U, GZHM50U, HM50U GZ-HM550, GZHM550, HM550 GZ-HM570, GZHM570, HM570 GZ-HM65, GZHM65, HM65 GZ-HM650, GZHM650, HM650 GZ-HM655 GZHM655, HM655 GZ-HM670 GZHM670, HM670 GZ-HM690 GZHM690, HM690 GZ-HM845, GZHM845, HM845 GZ-HM860, GZHM860, HM860 GZ-HM870, GZHM870, HM870 GZ-HM880, GZHM880, HM880 GZ-HM890, GZHM890, HM890 GZ-HM960, GZHM960, HM960 GZ-HM980, GZHM980, HM980 GZ-HM990, GZHM990, HM990 GZ-MG750, GZMG750, MG750 GZ-MG760, GZMG760, MG760 GZ-MS110, GZMS110, MS110 GZ-MS118, GZMS118, MS118 GZ-MS150, GZMS150, MS150 GZ-MS210, GZMS210, MS210 GZ-MS215, GZMS215, MS215 GZ-MS216, GZMS216, MS216 GZ-MS230, GZMS230, MS230 GZ-MS240, GZMS240, MS240 GZ-MS250, GZMS250, MS250</t>
  </si>
  <si>
    <t>Victor JVC BN-VG138, BN-VG138E, BN-VG138U, BN-VG138USM, BNVG138, BNVG138U, BNVG138E, BNVG138USM</t>
  </si>
  <si>
    <t>DMC-F2, DMCF2, F2 DMC-F3, DMCF3, F3 DMC-FH1, DMCFH1, FH1 DMC-FH20, DMCFH20, FH20 DMC-FH22, DMCFH22, FH22 DMC-FH3, DMCFH3, FH3 DMC-FP8, DMCFP8, FP8 DMC-FS10, DMCFS10, FS10 DMC-FS11, DMCFS11, FS11 DMC-FS12, DMCFS12, FS12 DMC-FS15, DMCFS15, FS15 DMC-FS25, DMCFS25, FS25 DMC-FS30, DMCFS30, FS30 DMC-FS33, DMCFS33, FS33 DMC-FS4, DMCFS4, FS4 DMC-FS42, DMCFS42, FS42 DMC-FS6, DMCFS6, FS6 DMC-FS62, DMCFS62, FS62 DMC-FS7, DMCFS7, FS7 DMC-FS8, DMCFS8, FS8 DMC-FT1, DMCFT1, FT1 DMC-FT2, DMCFT2, FT2 DMC-FT3, DMCFT3, FT3 DMC-FT4, DMCFT4, FT4 DMC-FX25, DMCFX25, FX25 DMC-FX40, DMCFX40, FX40 DMC-FX48, DMCFX48, FX48 DMC-FX550, DMCFX550, FX550 DMC-FX580, DMCFX580, FX580 DMC-FX60, DMCFX60, FX60 DMC-FX65, DMCFX65, FX65 DMC-FX66, DMCFX66, FX66 DMC-FX68, DMCFX68, FX68 DMC-FX70, DMCFX70, FX70 DMC-FX75, DMCFX75, FX75 DMC-FX700, DMCFX700, FX700 DMC-TS1, DMCTS1, TS1 DMC-TS2, DMCTS2, TS2 DMC-TS3, DMCTS3, TS3 DMC-TS4, DMCTS4, TS4 DMC-F2K, DMCF2K, F2K DMC-F2P, DMCF2P, F2P DMC-F2S, DMCF2S, F2S DMC-FP8S, DMCFP8S, FP8S DMC-FP8K, DMCFP8K, FP8K DMC-FP8R, DMCFP8R, FP8R DMC-FH1A, DMCFH1A, FH1A DMC-FH1K, DMCFH1K, FH1K DMC-FH1P, DMCFH1P, FH1P DMC-FH1S, DMCFH1S, FH1S DMC-FH3A, DMCFH3A, FH3A DMC-FH3K, DMCFH3K, FH3K DMC-FH3P, DMCFH3P, FH3P DMC-FH3S, DMCFH3S, FH3S DMC-FH3R, DMCFH3R, FH3R DMC-FH3K, DMCFH3K, FH3K DMC-FH20A, DMCFH20A, FH20A DMC-FH20K, DMCFH20K, FH20K DMC-FH20R, DMCFH20R, FH20R DMC-FH20S, DMCFH20S, FH20S DMC-FH20V, DMCFH20V, FH20V DMC-FS12A, DMCFS12A, FS12A DMC-FS12G, DMCFS12G, FS12G DMC-FS12K, DMCFS12K, FS12K DMC-FS12P, DMCFS12P, FS12P DMC-FS12S, DMCFS12S, FS12S DMC-FS15A, DMCFS15A, FS15A DMC-FS15K, DMCFS15K, FS15K DMC-FS15S, DMCFS15S, FS15S DMC-FS25K, DMCFS25K, FS25K DMC-FS25N, DMCFS25N, FS25N DMC-FS25S, DMCFS25S, FS25S DMC-FS4K, DMCFS4K, FS4K DMC-FS42K, DMCFS42K, FS42K DMC-FS42P, DMCFS42P, FS42P DMC-FS42S, DMCFS42S, FS42S DMC-FS62A, DMCFS62A, FS62A DMC-FS62K, DMCFS62K, FS62K DMC-FS62P, DMCFS62P, FS62P DMC-FS62R, DMCFS62R, FS62R DMC-FS62S, DMCFS62S, FS62S DMC-FS8S, DMCFS8S, FS8S DMC-FS7A, DMCFS7A, FS7A DMC-FS7G, DMCFS7G, FS7G DMC-FS7K, DMCFS7K, FS7K DMC-FS7P, DMCFS7P, FS7P DMC-FS7S, DMCFS7S, FS7S DMC-FX48K, DMCFX48K, FX48K DMC-FX48S, DMCFX48S, FX48S DMC-FX580K, DMCFX580K, FX580K DMC-FX580S, DMCFX580S, FX580S DMC-FX75K, DMCFX75K, FX75K DMC-FX75S, DMCFX75S, FX75S DMC-TS2A, DMCTS2A, TS2A DMC-TS2D, DMCTS2D, TS2D DMC-TS2S, DMCTS2S, TS2S DMC-TS2Y, DMCTS2Y, TS2Y DMC-TS1D, DMCTS1D, TS1D DMC-TS1G, DMCTS1G, TS1G DMC-TS1S, DMCTS1S, TS1S</t>
  </si>
  <si>
    <t>Panasonic DMW-BCF10, DMWBCF10, DMW-BCF10PP, DMWBCF10PP, DMW-BCF10E, DMWBCF10E, CGA-S106B, CGA-S106, CGA-S/106C, CGAS106, CGA-S/106B</t>
  </si>
  <si>
    <t>Samsung NX-300, NX300 Samsung NX-500, NX500 Samsung NX-2000, NX2000</t>
  </si>
  <si>
    <t>Samsung ED-BP1130, EDBP1130, BP1130</t>
  </si>
  <si>
    <t>Nikon COOLPIX B700, Nikon B700 Nikon COOLPIX P600, Nikon P600 Nikon COOLPIX P610, Nikon P610 Nikon COOLPIX P900, Nikon P900 Nikon COOLPIX S810c, Nikon S810c</t>
  </si>
  <si>
    <t>Nikon EN-EL23, ENEL23</t>
  </si>
  <si>
    <t>Canon Powershot SX40 HS, SX40HS Canon Powershot SX50 HS, SX50HS Canon Powershot SX60 HS, SX60HS Canon Powershot G1 X, Canon G1X Canon Powershot G3 X, Canon G3X Canon Powershot G15, Canon G15 Canon Powershot G16, Canon G16</t>
  </si>
  <si>
    <t>Canon NB10L, Canon NB-10L, Canon 5668B001</t>
  </si>
  <si>
    <t>Canon PowerShot ELPH 110 HS, Canon 110 HS, Canon ELPH 110 HS, Canon PowerShot 110 HS Canon PowerShot ELPH 115 IS, Canon 115 IS, Canon ELPH 115 IS, Canon PowerShot 115 Canon PowerShot ELPH 130 IS, Canon ELPH 130 IS, Canon PowerShot 130 IS Canon PowerShot ELPH 135, Canon ELPH 135, Canon PowerShot 135 Canon PowerShot ELPH 140 IS, Canon ELPH 140 IS, Canon PowerShot 140 IS Canon PowerShot ELPH 150 IS, Canon ELPH 150 IS, Canon PowerShot 150 IS Canon PowerShot ELPH 160, Canon ELPH 160, Canon PowerShot 160 Canon PowerShot ELPH 170 IS, Canon ELPH 170 IS, Canon PowerShot 170 IS Canon PowerShot ELPH 320 HS, Canon 320 HS, Canon ELPH 320 HS, Canon PowerShot 320 HS Canon PowerShot ELPH 340 HS, Canon 340 HS, Canon ELPH 340 HS, Canon PowerShot 340 HS Canon PowerShot ELPH 350 HS, Canon 350 HS, Canon ELPH 350 HS, Canon PowerShot 350 HS Canon IXUS 240 HS, Canon 240 HS, 240HS Canon PowerShot A2300, Canon A2300 Canon PowerShot A2400 IS, Canon A2400 IS, Canon A2400 Canon PowerShot A2500, Canon A2500 Canon PowerShot A2600, Canon A2600 Canon PowerShot A3400 IS, Canon A3400 IS, Canon A3400 Canon PowerShot A3500 IS, Canon A3500 IS, Canon A3500 Canon PowerShot A4000 IS, A4000 IS, Canon A4000 IS, Canon A4000 Canon PowerShot SX400 IS, SX400 IS, Canon SX400 IS, Canon SX400 Canon PowerShot SX410 IS, SX410 IS, Canon SX410 IS, Canon SX410</t>
  </si>
  <si>
    <t>Canon NB11L, Canon NB-11L, NB-11LH, NB11LH</t>
  </si>
  <si>
    <t>Canon PowerShot S30 / Canon S30 Canon PowerShot S40 / Canon S40 Canon PowerShot S45 /Canon S45 Canon PowerShot S50 /Canon S50 Canon PowerShot S55 / Canon S55 Canon PowerShot S60 /Canon S60 Canon PowerShot S70 /Canon S70 Canon PowerShot S80 / Canon S80 Canon PowerShot G7 / Canon G7 Canon PowerShot G9 / Canon G9 Canon DC310 Canon DC320 Canon DC330 Canon DC410 Canon DC420 Canon HV20 Canon HG10 Canon Digital Rebel XT / Canon Rebel XT / Canon XT Canon Digital Rebel XTi /Canon Rebel XTi / Canon XTi Canon EOS Kiss Digital N Canon EOS-350D, EOS 350D / Canon 350D Canon EOS-400D, EOS 400D / Canon 440D Canon Optura 30 / Optura 30 Canon Optura 40 / Optura 40 Canon Optura 50 / Optura 50 Canon Optura 400 / Optura 400 Canon Optura 500 / Optura 500 Canon Optura 60 / Optura 60 Canon ZR-100 / ZR100 Canon ZR-200 / ZR200 Canon ZR-300 / ZR300 Canon ZR-400 / ZR400 Canon ZR-500 / ZR500 Canon ZR-600 / ZR600 Canon ZR-700 / ZR700 Canon Elura 40MC / Elura 40MC Canon Elura 50 / Elura 50 Canon Elura 60 / Elura 60 Canon Elura 65 / Elura 65 Canon Elura 70 / Elura 70 Canon Elura 80 / Elura 80 Canon Elura 85 / Elura 85 Canon Elura 90 / Elura 90 Canon FVM20 / FVM20 Canon FVM30 / FVM30 Canon FVM100 KIT / FVM100 Canon FVM200 / FVM200 Canon FV500 / FV 500 Canon IXY DV3 / IXY DV3 Canon IXY DVM3 / IXY DMV3 Canon IXY DV5 / IXY DV 5 Canon MV5 / MV 5 Canon MV5i / MV 5i Canon MV5iMC, MV5i MC Canon MV6iMC, MV6i MC Canon MV800, MV-800 Canon MV830, MV-830 Canon MV830i, MV-830i Canon MV850i, MV-850i Canon MV880X, MV-880X Canon MV920, MV-920 Canon MVX20i, MV X20i, MVX-20i Canon MVX25i, MV X25i, MVX-25i Canon MVX30i, MV X30i, MVX-30i Canon MVX35i, MV X35i, MVX-35i Canon MVX40i, MV X40i, MVX-40i Canon MVX45i, MV X45i, MVX-45i Canon MVX200, MV X200, MVX-200 Canon MVX200i, MV X200i, MVX-200i Canon MVX250i, MV X250i, MVX-250i Canon MVX300i, MV X300i, MVX-300i Canon MVX330i, MV X330i, MVX-330i Canon MVX350i, MV X350i, MVX-350i Canon VIXIA HF R10, HFR10 Canon VIXIA HF R11, HFR11 Canon VIXIA HF R100, HFR100</t>
  </si>
  <si>
    <t>Canon BP-2L5, BP2L5, BTI-CNNB2L, Battery-Biz B-9581, BatteryValues B-9581, BTI BTI-CNNB2L, Canon 7302A001AA, Canon DDNB-2L, Canon HS-DCL2L, Canon LIC2L12, Canon NB2L, Canon NB2LH, Canon NB-2L, Canon NB-2LH, Delkin DDNB-2L, DigiPower BP-CN2L, DSMiller B-9581, Duracell DRC2L, Duracell DRC2LRES, Energizer ER-D120, GP VCL004, Hahnel HL-HL-2L, Hama 47219, Hi-Capacity B-9581, IDP PR-109DG, Lenmar DLC2L, Lenmar DLC2L12, Lenmar LIC2LI2, Maxell B-9581, Maxell DC3778, Polaroid B-9581, Polaroid PR-109DG, Power Battery BP-CN2L, Rayovac RV-DC1200, Sakar BP-2LCL, Uniross VB102186, US Power BCD1067, Varta P38, Vivanco BP-0567</t>
  </si>
  <si>
    <t>Canon NB4L, Canon NB-4L, Battery-Biz B-9645, BatteryValues B-9645, Lenmar DLC-4L, DigiPower BP-CN4L, DSMiller B-9645, Energizer ER-D150, Hi-Capacity B-9645, Maxell B-9645, Maxell DC3787, Power Battery BP-CN4L, Sakar BP-NB4</t>
  </si>
  <si>
    <t>Powershot S110, Canon S110 Powershot SD700 IS, SD700IS Powershot SD700 IS Digital ELPH Powershot SD790 IS, SD790IS Powershot SD790 IS Digital ELPH Powershot SD800 IS, SD800IS Powershot SD800 IS Digital ELPH Powershot SD850 IS, SD850IS Powershot SD850 IS Digital ELPH Powershot SD870 IS, SD870IS Powershot SD870 IS Digital ELPH Powershot SD880 IS, SD880IS Powershot SD880 IS Digital ELPH Powershot SD890 IS, SD890IS Powershot SD890 IS Digital ELPH Powershot SD900 Powershot SD950 IS, SD950IS Powershot SD950 IS Digital ELPH Powershot SD970 IS, SD970IS Powershot SD970 IS Digital ELPH Powershot SD990 IS, SD990IS Powershot SD990 IS Digital ELPH Powershot SX200 IS, SX200IS Powershot SX210 IS, SX210IS Powershot SX230 HS, SX230HS Powershot S100 IXY Digital 910 IS, 910IS IXY Digital 900 IS, 900IS IXY Digital 820 IS, 820IS IXY Digital 810 IS, 810IS IXY Digital 800 IS, 800IS IXY Digital 2000 IS, 2000IS IXY Digital 1000 Digital IXUS 90 IS, 90IS Digital IXUS 900 Ti, 900Ti Digital IXUS 950 IS, 950IS Digital IXUS 960 IS, 960IS Digital IXUS 970 IS, 970IS Digital IXUS 980 IS, 980IS Digital IXUS 990 IS, 990IS Digital IXUS 800 IS, 800IS Digital IXUS 850 IS, 850IS Digital IXUS 860 IS, 860IS Digital IXUS 870 IS, 870IS</t>
  </si>
  <si>
    <t>Canon NB5L, Canon NB-5L, 1135B001</t>
  </si>
  <si>
    <t>Canon Powershot ELPH 500 HS, 500HS, Canon 500 HS, ELPH 500 Canon Powershot SD770 IS, SD770IS, SD770 IS, Canon SD770 IS Canon Powershot SD980 IS, SD980IS, SD980 IS, Canon SD980 IS Canon Powershot SD1200 IS, SD1200IS, SD1200 IS, Canon SD1200 IS Canon Powershot SD1300 IS, SD1300IS, Canon SD1300 IS, Canon SD1300IS Canon Powershot SD3500 IS, SD3500IS, Canon SD3500 IS, Canon SD3500IS Canon Powershot SD4000 IS, SD4000IS, Canon SD4000 IS, Canon SD4000IS Canon Powershot D10, Canon D10 IS, Canon D 10, Canon D10 Canon Powershot D20, Canon D20, Canon D 20 Canon Powershot D30, Canon D30 Canon Powershot S90, Canon S90 IS, PowerShot S90 Canon Powershot S95,S 95 Canon, PowerShot S95 Canon Powershot S120, Canon S120, Powershot S120 Canon Powershot SX170 IS, Canon SX170 Canon Powershot SX240 HS Canon Powershot SX260 HS Canon Powershot SX270 HS Canon Powershot SX280 HS Canon Powershot SX500 IS Canon Powershot SX510 HS, Canon SX510 Canon Powershot SX520 HS, Canon SX520 Canon Powershot SX530 HS, Canon SX530 Canon Powershot SX600 HS, Canon SX600 Canon Powershot SX610 HS, Canon SX610 Canon Powershot SX700 HS, Canon SX700 Canon Powershot SX710 HS, Canon SX710 Canon IXUS 85 IS, IXUS 85 IS Canon IXUS 95 IS, IXUS 95 IS Canon IXY Digital 25 IS Canon Digital IXUS 200 IS Canon Digital IXUS 210 Canon Digital IXUS 105</t>
  </si>
  <si>
    <t>Canon NB6L, Canon NB-6L, Canon NB-6LH, Canon NB6LH, 2607B001</t>
  </si>
  <si>
    <t>Canon Powershot G10, Canon G10, PowerShot G10 Canon Powershot G11, Canon G11, PowerShot G11 Canon Powershot G12, Canon G12, PowerShot G12 Canon PowerShot SX30 IS, Canon SX 30 IS, SX30IS, PowerShot SX 30 IS,</t>
  </si>
  <si>
    <t>Canon NB7L, Canon NB-7L, 3153B001</t>
  </si>
  <si>
    <t>Canon Powershot A2200, Canon A2200, Power Shot A2200 Canon Powershot A3000 IS, A3000IS, A3000 IS, Canon A3000, Canon A3000 IS Canon Powershot A3100 IS, A3100IS, A3100 IS, Canon A3100, Canon A3100 IS Canon Powershot A3200 IS, A3200IS, A3200 IS, Canon A3200, Canon A3200 IS Canon Powershot A3300 IS, A3300IS, A3300 IS, Canon A3300, Canon A3300 IS</t>
  </si>
  <si>
    <t>Canon NB8L, Canon NB-8L</t>
  </si>
  <si>
    <t>Canon PowerShot N Canon PowerShot N2 Canon Powershot ELPH 510 HS, 510HS Canon Powershot ELPH 520 HS, 520HS Canon Powershot ELPH 530 HS, 530HS Canon Powershot SD4500 IS, SD4500IS Canon IXUS 1000 HS, IXUS 1000HS Canon IXY 50S</t>
  </si>
  <si>
    <t>Canon NB9L, Canon NB-9L</t>
  </si>
  <si>
    <t>J10, J12, J15, J20, J25, J26, J27, J28, J29, J30, J32, J35, J37, J38, J40, J100, J110, J120, J150, J210, J250 JV100, JV105, JV150, JV200, JV205, JV250, JV255, JV300, JV500 JX200, JX205, JX210, JX250, JX255, JX280, JX290, JX295, JX300, JX305, JX310, JX315, JX320, JX330, JX335, JX350, JX355, JX360, JX370, JX375, JX380, JX390, JX400, JX405, JX420, JX440, JX500, JX520, JX530, JX550, JX580, JX590, JX600, JX650, JX660, JX680, JX700, JX710 JZ100, JZ110, JZ200, JZ250, JZ260, JZ300, JZ305, JZ310, JZ500, JZ505, JZ510 XP10, XP11, XP15, XP20, XP22, XP30, XP31, XP50, XP60, XP70, XP75, XP80, XP90 T190, T200, T205, T300, T305, T310, T350, T360, T400, T410, T500, T510, T550, T555, T560 Z10, Z20, Z30, Z31, Z33, Z35, Z37, Z70, Z71, Z80, Z81, Z90, Z91, Z100, Z110, Z115, Z200, Z250, Z300, Z700, Z707, Z800,Z808, Z900, Z909, Z950, Z1000, Z1010 Mini 90 L30, L55, L90</t>
  </si>
  <si>
    <t>Fujifilm NP-45, NP45, NP-45A, NP45A, NP-45S, NP45S</t>
  </si>
  <si>
    <t>Fujifilm XQ1 Fujifilm XQ2</t>
  </si>
  <si>
    <t>Fujifilm NP-48, NP48</t>
  </si>
  <si>
    <t>EX-V7, EXV7, V7 EX-V8, EXV8, V8 EX-V7SR, EXV7SR, V7SR EX-V8SR, EXV8SR, V8SR</t>
  </si>
  <si>
    <t>Casio NP-50, NP50, Casio NP-50DBA, NP50DBA</t>
  </si>
  <si>
    <t>Fujifilm NP-85, NP85</t>
  </si>
  <si>
    <t>Fujifilm FinePix S1 Fujifilm FinePix SL1000 Fujifilm FinePix SL305 Fujifilm FinePix SL300 Fujifilm FinePix SL280 Fujifilm FinePix SL260 Fujifilm FinePix SL240"</t>
  </si>
  <si>
    <t>Fujifilm X30 Fujifilm X100 Fujifilm X100S Fujifilm X100T Fujifilm X-S1 Fujifilm FinePix F30 Fujifilm FinePix F31 fd, F31fd Fujifilm FinePix Real 3D W1</t>
  </si>
  <si>
    <t>Sony NP-BX1, Sony NPBX1.</t>
  </si>
  <si>
    <t>AC-VQH10, ACVQH10, VQH10 Alpha DSLR-A230, A230 Alpha DSLR-A290, A290 Alpha DSLR-A330, A330 Alpha DSLR-A380, A380 Alpha DSLR-A390, A390 Cyber-shot DSC-HX1, DSCHX1, HX1 Cyber-shot DSC-HX100, DSCHX100, HX100 Cyber-shot DSC-HX200, DSCHX200, HX200 DCR-DVD103, DCRDVD103, DVD103 DCR-DVD105, DCRDVD105, DVD105 DCR-DVD106, DCRDVD106, DVD106 DCR-DVD108, DCRDVD108, DVD108 DCR-DVD109, DCRDVD109, DVD109 DCR-DVD202, DCRDVD202, DVD202 DCR-DVD203, DCRDVD203, DVD203 DCR-DVD205, DCRDVD205, DVD205 DCR-DVD305, DCRDVD305, DVD305 DCR-DVD306, DCRDVD306, DVD306 DCR-DVD308, DCRDVD308, DVD308 DCR-DVD403, DCRDVD403, DVD403 DCR-DVD404, DCRDVD404, DVD404 DCR-DVD405, DCRDVD405, DVD405 DCR-DVD406, DCRDVD406, DVD406 DCR-DVD407, DCRDVD407, DVD407 DCR-DVD408, DCRDVD408, DVD408 DCR-DVD505, DCRDVD505, DVD505 DCR-DVD506, DCRDVD506, DVD506 DCR-DVD508, DCRDVD508, DVD508 DCR-DVD602, DCRDVD602, DVD602 DCR-DVD605, DCRDVD605, DVD605 DCR-DVD610, DCRDVD610, DVD610 DCR-DVD650, DCRDVD650, DVD650 DCR-DVD653, DCRDVD653, DVD653 DCR-DVD703, DCRDVD703, DVD703 DCR-DVD705, DCRDVD705, DVD705 DCR-DVD708, DCRDVD708, DVD708 DCR-DVD710, DCRDVD710, DVD710 DCR-DVD755, DCRDVD755, DVD755 DCR-DVD803, DCRDVD803, DVD803 DCR-DVD805, DCRDVD805, DVD805 DCR-DVD808, DCRDVD808, DVD808 DCR-DVD810, DCRDVD810, DVD810 DCR-DVD850, DCRDVD850, DVD850 DCR-DVD905, DCRDVD905, DVD905 DCR-DVD908, DCRDVD908, DVD908 DCR-DVD910, DCRDVD910, DVD910 DCR-DVD92, DCRDVD92, DVD92 DCR-HC16, DCRHC16, HC16 DCR-HC17, DCRHC17, HC17 DCR-HC18, DCRHC18, HC18 DCR-HC19, DCRHC19, HC19 DCR-HC20, DCRHC20, HC20 DCR-HC21, DCRHC21, HC21 DCR-HC22, DCRHC22, HC22 DCR-HC23, DCRHC23, HC23 DCR-HC24, DCRHC24, HC24 DCR-HC26, DCRHC26, HC26 DCR-HC27, DCRHC27, HC27 DCR-HC28, DCRHC28, HC28 DCR-HC30, DCRHC30, HC30 DCR-HC32, DCRHC32, HC32 DCR-HC33, DCRHC33, HC33 DCR-HC35, DCRHC35, HC35 DCR-HC36, DCRHC36, HC36 DCR-HC37, DCRHC37, HC37 DCR-HC38, DCRHC38, HC38 DCR-HC39, DCRHC39, HC39 DCR-HC40, DCRHC40, HC40 DCR-HC41, DCRHC41, HC41 DCR-HC42, DCRHC42, HC42 DCR-HC43, DCRHC43, HC43 DCR-HC44, DCRHC44, HC44 DCR-HC45, DCRHC45, HC45 DCR-HC46, DCRHC46, HC46 DCR-HC47, DCRHC47, HC47 DCR-HC48, DCRHC48, HC48 DCR-HC5, DCRHC5, HC5 DCR-HC52, DCRHC52, HC52 DCR-HC62, DCRHC62, HC62 DCR-HC65, DCRHC65, HC65 DCR-HC7, DCRHC7, HC7 DCR-HC8, DCRHC8, HC8 DCR-HC85, DCRHC85, HC85 DCR-HC94, DCRHC94, HC94 DCR-HC96, DCRHC96, HC96 DCR-SR10, DCRSR10, SR10 DCR-SR100, DCRSR100, SR100 DCR-SR11, DCRSR11, SR11 DCR-SR12, DCRSR12, SR12 DCR-SR190, DCRSR190, SR190 DCR-SR200, DCRSR200, SR200 DCR-SR220, DCRSR220, SR220 DCR-SR290, DCRSR290, SR290 DCR-SR30, DCRSR30, SR30 DCR-SR300, DCRSR300, SR300 DCR-SR32, DCRSR32, SR32 DCR-SR33, DCRSR33, SR33 DCR-SR35, DCRSR35, SR35 DCR-SR36, DCRSR36, SR36 DCR-SR37, DCRSR37, SR37 DCR-SR38, DCRSR38, SR38 DCR-SR40, DCRSR40, SR40 DCR-SR42, DCRSR42, SR42 DCR-SR45, DCRSR45, SR45 DCR-SR46, DCRSR46, SR46 DCR-SR47, DCRSR47, SR47 DCR-SR48, DCRSR48, SR48 DCR-SR50, DCRSR50, SR50 DCR-SR52, DCRSR52, SR52 DCR-SR55, DCRSR55, SR55 DCR-SR57, DCRSR57, SR57 DCR-SR60, DCRSR60, SR60 DCR-SR62, DCRSR62, SR62 DCR-SR65, DCRSR65, SR65 DCR-SR67, DCRSR67, SR6 DCR-SR70, DCRSR70, SR70 DCR-SR72, DCRSR72, SR72 DCR-SR75, DCRSR75, SR75 DCR-SR77, DCRSR77, SR77 DCR-SR8, DCRSR8, SR8 DCR-SR80, DCRSR80, SR80 DCR-SR82, DCRSR82, SR82 DCR-SR85, DCRSR85, SR85 DCR-SR87, DCRSR87, SR87 DCR-SR90, DCRSR90, SR90 DCR-SX30, DCRSX30, SX30 DCR-SX31, DCRSX31, SX31 DCR-SX40, DCRSX40, SX40 DCR-SX41, DCRSX41, SX41 DCR-SX50, DCRSX50, SX50 DCR-SX60, DCRSX60, SX60 DCR-UX5, DCRUX5, UX5 DCR-UX7, DCRUX7, UX7 HDR-CX100, HDRCX100, CX100 HDR-CX105, HDRCX105, CX105 HDR-CX106, HDRCX106, CX106 HDR-CX11, HDRCX11, CX11 HDR-CX12, HDRCX12, CX12 HDR-CX500V, HDRCX500V, CX500V HDR-CX505VE, HDRCX505VE, CX505VE HDR-CX520V, HDRCX520V, CX520V HDR-CX6, HDRCX6, CX6 HDR-CX7, HDRCX7, CX7 HDR-HC28, HDRHC28, HC28 HDR-HC3, HDRHC3, HC3 HDR-HC38, HDRHC38, HC38 HDR-HC48, HDRHC48, HC48 HDR-HC5, HDRHC5, HC5 HDR-HC62, HDRHC62, HC62 HDR-HC7, HDRHC7, HC7 HDR-HC9, HDRHC9, HC9 HDR-HC96, HDRHC96, HC96 HDR-SR10, HDRSR10, SR10 HDR-SR100, HDRSR100, SR100 HDR-SR11, HDRSR11, SR11 HDR-SR12, HDRSR12, SR12 HDR-SR200, HDRSR200, SR200 HDR-SR220, HDRSR220, SR220 HDR-SR30, HDRSR30, SR30 HDR-SR300, HDRSR300, SR300 HDR-SR40, HDRSR40, SR40 HDR-SR42, HDRSR42, SR42 HDR-SR45, HDRSR45, SR45 HDR-SR47, HDRSR47, SR47 HDR-SR5, HDRSR5, SR5 HDR-SR50, HDRSR50, SR50 HDR-SR56, HDRSR56, SR56 HDR-SR5C, HDRSR5C, SR5C HDR-SR60, HDRSR60, SR60 HDR-SR62, HDRSR62, SR62 HDR-SR67, HDRSR67, SR67 HDR-SR7, HDRSR7, SR7 HDR-SR70, HDRSR70, SR70 HDR-SR8, HDRSR8, SR8 HDR-SR80, HDRSR80, SR80 HDR-SR82, HDRSR82, SR82 HDR-SR87, HDRSR87, SR87 HDR-SR90, HDRSR90, SR90 HDR-TG1, HDRTG1, TG1 HDR-TG3, HDRTG3, TG3 HDR-TG5V, HDRTG5V, TG5V HDR-UX10, HDRUX10, UX10 HDR-UX19, HDRUX19, UX19 HDR-UX20, HDRUX20, UX20 HDR-UX3, HDRUX3, UX3 HDR-UX5, HDRUX5, UX5 HDR-UX7, HDRUX7, UX7 HDR-XR100, HDRXR100, XR100 HDR-XR105, HDRXR105, XR105 HDR-XR106, HDRXR106, XR106 HDR-XR200V, HDRXR200V, XR200V HDR-XR500V, HDRXR500V, XR500V HDR-XR520V, HDRXR520V, XR520V HXR-MC1, HXRMC1, MC1</t>
  </si>
  <si>
    <t>Sony H Series: NP-FH40, NPFH40, NP-FH50, NPFH50, NP-FH60, NPFH60</t>
  </si>
  <si>
    <t>NP-FV40, NPFV40, NP-FV50, NPFV50, NP-FV60, NPFV60, NP-FV0, NPFV30</t>
  </si>
  <si>
    <t xml:space="preserve"> Fuji NP-W126, NPW126</t>
  </si>
  <si>
    <t>VW-VBG6, VW-VBG6K, VW-VBG6E, VW-VBG6PP, VWVBG6, VWVBG6K, VWVBG6E, VWVBG6PP.</t>
  </si>
  <si>
    <t>GC-PX10, GCPX10, PX10 GC-PX100, GCPX100, PX100 GR-D720US, GRD720US, D720US GR-D720EK, GRD720EK, D720EK GR-D720EX, GRD720EX, D720EX GR-D720, GRD720 GR-D725US, GRD725US, D725US GR-D725EK, GRD725EK, D725EK GR-D725EX, GRD725EX, D725EX GR-D725, GRD725 GR-D726US, GRD726US, D726US GR-D726EK, GRD726EK, D726EK GR-D726EX, GRD726EX, D726EX GR-D726, GRD726 GR-D728US, GRD728US, D728US GR-D728EK, GRD728EK, D728EK GR-D728EX, GRD728EX, D728EX GR-D728, GRD728 GR-D740US, GRD740US, D740US GR-D740EK, GRD740EK, D740EK GR-D740EX, GRD740EX, D740EX GR-D740, GRD740 GR-D745US, GRD745US, D745US GR-D745EK, GRD745EK, D745EK GR-D745EX, GRD745EX, D745EX GR-D745, GRD745 GR-D746US, GRD746US, D746US GR-D746EK, GRD746EK, D746EK GR-D746EX, GRD746EX, D746EX GR-D746, GRD746 GR-D750US, GRD750US, D750US GR-D750EK, GRD750EK, D750EK GR-D750EX, GRD750EX, D750EX GR-D750, GRD750 GR-D760US, GRD760US, D760US GR-D760EK, GRD760EK, D760EK GR-D760EX, GRD760EX, D760EX GR-D760, GRD760 GR-D770US, GRD770US, D770US GR-D770EK, GRD770EK, D770EK GR-D770EX, GRD770EX, D770EX GR-D770, GRD770 GR-D770E, GRD770E, D770E GR-D770VS, GRD770VS, D770VS GR-D771US, GRD771US, D771US GR-D771EK, GRD771EK, D771EK GR-D771EX, GRD771EX, D771EX GR-D771, GRD771 GR-D775US, GRD775US, D775US GR-D775EK, GRD775EK, D775EK GR-D775EX, GRD775EX, D775EX GR-D775, GRD775 GR-D790US, GRD790US, D790US GR-D790EK, GRD790EK, D790EK GR-D790EX, GRD790EX, D790EX GR-D790, GRD790 GR-D796US, GRD796US, D796US GR-D796EK, GRD796EK, D796EK GR-D796EX, GRD796EX, D796EX GR-D796, GRD796 GR-D850US, GRD850US, D850US GR-D850EK, GRD850EK, D850EK GR-D850EX, GRD850EX, D850EX GR-D850, GRD850 GR-D870US, GRD870US, D870US GR-D870EK, GRD870EK, D870EK GR-D870EX, GRD870EX, D870EX GR-D870, GRD870 GR-D875US, GRD875US, D875US GR-D875EK, GRD875EK, D875EK GR-D875EX, GRD875EX, D875EX GR-D875, GRD875 GR-DA30US, GRDA30US, DA30US GR-DA30, GRDA30 GS-TD1, GSTD1, TD1 GY-HM70U, GYHM70U GY-HM100, GYHM100 GY-HM100U, GYHM100U GY-HM100E, GYHM100E GY-HM100EC, GYHM100EC GY-HM150, GYHM150 GY-HM150U, GYHM150U GY-HM150E, GYHM150E GY-HMZ1, GYHMZ1 GY-HMZ1E, GYHMZ1E GY-HMZ1U, GYHMZ1U Everio GZ-MG130US, GZMG130US, MG130US Everio GZ-MG130EK, GZMG130EK, MG130EK Everio GZ-MG130EX, GZMG130EX, MG130EX Everio GZ-MG130, GZMG130 Everio GZ-MG131US, GZMG131US, MG131US Everio GZ-MG131EK, GZMG131EK, MG131EK Everio GZ-MG131EX, GZMG131EX, MG131EX Everio GZ-MG131, GZMG131 Everio GZ-MG132US, GZMG132US, MG132US Everio GZ-MG132EK, GZMG132EK, MG132EK Everio GZ-MG132EX, GZMG132EX, MG132EX Everio GZ-MG132, GZMG132 Everio GZ-MG133US, GZMG133US, MG133US Everio GZ-MG133EK, GZMG133EK, MG133EK Everio GZ-MG133EX, GZMG133EX, MG133EX Everio GZ-MG133, GZMG133 Everio GZ-MG134US, GZMG134US, MG134US Everio GZ-MG134EK, GZMG134EK, MG134EK Everio GZ-MG134EX, GZMG134EX, MG134EX Everio GZ-MG134, GZMG134 Everio GZ-MG135US, GZMG135US, MG135US Everio GZ-MG135EK, GZMG135EK, MG135EK Everio GZ-MG135EX, GZMG135EX, MG135EX Everio GZ-MG135, GZMG135 Everio GZ-MG148US, GZMG148US, MG148US Everio GZ-MG148EK, GZMG148EK, MG148EK Everio GZ-MG148EX, GZMG148EX, MG148EX Everio GZ-MG148, GZMG148 Everio GZ-MG150US, GZMG150US, MG150US Everio GZ-MG150EK, GZMG150EK, MG150EK Everio GZ-MG150EX, GZMG150EX, MG150EX Everio GZ-MG150, GZMG150 Everio GZ-MG155US, GZMG155US, MG155US Everio GZ-MG155EK, GZMG155EK, MG155EK Everio GZ-MG155EX, GZMG155EX, MG155EX Everio GZ-MG155, GZMG155 Everio GZ-MG157US, GZMG157US, MG157US Everio GZ-MG157EK, GZMG157EK, MG157EK Everio GZ-MG157EX, GZMG157EX, MG157EX Everio GZ-MG157, GZMG157 Everio GZ-MG175US, GZMG175US, MG175US Everio GZ-MG175EK, GZMG175EK, MG175EK Everio GZ-MG175EX, GZMG175EX, MG175EX Everio GZ-MG175, GZMG175 Everio GZ-MG177US, GZMG177US, MG177US Everio GZ-MG177EK, GZMG177EK, MG177EK Everio GZ-MG177EX, GZMG177EX, MG177EX Everio GZ-MG177, GZMG177 Everio GZ-MG230, GZMG230, MG230 Everio GZ-MG255US, GZMG255US, MG255US Everio GZ-MG255EK, GZMG255EK, MG255EK Everio GZ-MG255EX, GZMG255EX, MG255EX Everio GZ-MG255, GZMG255 Everio GZ-MG275US, GZMG275US, MG275US Everio GZ-MG275EK, GZMG275EK, MG275EK Everio GZ-MG275EX, GZMG275EX, MG275EX Everio GZ-MG275, GZMG275 Everio GZ-MG275E, GZMG275E Everio GZ-MG330, GZMG330 Everio GZ-MG330A, GZMG330A Everio GZ-MG330H, GZMG330H Everio GZ-MG330R, GZMG330R Everio GZ-MG330HUS, GZMG330HUS, MG330HUS Everio GZ-MG330RUS, GZMG330RUS, MG330RUS Everio GZ-MG330AUS, GZMG330AUS, MG330US Everio GZ-MG335, GZMG335 Everio GZ-MG335H, GZMG335H Everio GZ-MG335W, GZMG335W Everio GZ-MG335HUS, GZMG335HUS, MG335HUS Everio GZ-MG335WUS, GZMG335WUS, MG335WUS Everio GZ-MG340, GZMG340 Everio GZ-MG340B, GZMG340B Everio GZ-MG340BUS, GZMG340BUS, MG340BUS Everio GZ-MG360, GZMG360 Everio GZ-MG360B, GZMG360B Everio GZ-MG360BUS, GZMG360BUS, MG360BUS Everio GZ-MG365, GZMG365 Everio GZ-MG365B, GZMG365B Everio GZ-MG365BUS, GZMG365BUS, MG365BUS Everio GZ-MG430, GZMG430 Everio GZ-MG430H, GZMG430H Everio GZ-MG430HUS, GZMG430HUS, MG430HUS Everio GZ-MG435, GZMG435 Everio GZ-MG435H, GZMG435H Everio GZ-MG435HUS, GZMG435HUS, MG435HUS Everio GZ-MG465, GZMG465 Everio GZ-MG465B, GZMG465B Everio GZ-MG465BUS, GZMG465BUS, MG465BUS Everio GZ-MG555US, GZMG555US, MG555US Everio GZ-MG555EK, GZMG555EK, MG555EK Everio GZ-MG555EX, GZMG555EX, MG555EX Everio GZ-MG555, GZMG555 Everio GZ-MG575US, GZMG575US, MG575US Everio GZ-MG575EK, GZMG575EK, MG575EK Everio GZ-MG575EX, GZMG575EX, MG575EX Everio GZ-MG575, GZMG575 GZ-MG630A, GZMG630A, MG630A GZ-MG630R, GZMG630R, MG630R GZ-MG630S, GZMG630S, MG630S GZ-MG630US, GZMG630US, MG630US GZ-MG670B, GZMG670B, MG670B GZ-MG670US, GZMG670US, MG670US GZ-MG680B, GZMG680B, MG680B GZ-MG680US, GZMG680US, MG680US GZ-MG730US, GZMG730US, MG730US Everio GZ-MS100, GZMS100 Everio GZ-MS100US, GZMS100US, MS100US Everio GZ-MS100RUS, GZMS100RUS, MS100RUS Everio GZ-MS100R, GZMS100R Everio GZ-MS120, GZMS120, MS120 Everio GZ-MS120A, GZMS120A, MS120A Everio GZ-MS120R, GZMS120R, MS120R Everio GZ-MS120B, GZMS120B, MS120B Everio GZ-MS130, GZMS130 Everio GZ-MS130A, GZMS130A, MS130A Everio GZ-MS130R, GZMS130R, MS130R Everio GZ-MS130B, GZMS130B, MS130B Everio GZ-HD3US, GZHD3US, HD3US Everio GZ-HD3EK, GZHD3EK, HD3EK Everio GZ-HD3EX, GZHD3EX, HD3EX Everio GZ-HD3, GZHD3 Everio GZ-HD5US, GZHD5US, HD5US Everio GZ-HD5EK, GZHD5EK, HD5EK Everio GZ-HD5EX, GZHD5EX, HD5EX Everio GZ-HD5, GZHD5 Everio GZ-HD6US, GZHD6US, HD6US Everio GZ-HD6EK, GZHD6EK, HD6EK Everio GZ-HD6EX, GZHD6EX, HD6EX Everio GZ-HD6, GZHD6 Everio GZ-HD7US, GZHD7US, HD7US Everio GZ-HD7EK, GZHD7EK, HD7EK Everio GZ-HD7EX, GZHD7EX, HD7EX Everio GZ-HD7, GZHD7 Everio GZ-HD10US, GZHD10US, HD10US Everio GZ-HD10EK, GZHD10EK, HD10EK Everio GZ-HD10EX, GZHD10EX, HD10EX Everio GZ-HD10, GZHD10 Everio GZ-HD30US, GZHD30US, HD30US Everio GZ-HD30EK, GZHD30EK, HD30EK Everio GZ-HD30EX, GZHD30EX, HD30EX Everio GZ-HD30, GZHD30 Everio GZ-HD40US, GZHD40US, HD40US Everio GZ-HD40EK, GZHD40EK, HD40EK Everio GZ-HD40EX, GZHD40EX, HD40EX Everio GZ-HD40, GZHD40 GZ-HD300, GZHD300 GZ-HD300B, GZHD300B, HD300B GZ-HD300R, GZHD300R, HD300R GZ-HD300A, GZHD300A, HD300A GZ-HD200B, GZHD200B, HD200B GZ-HD200R, GZHD200R, HD200R GZ-HD200A, GZHD200A, HD200A GZ-HM1, GZHM1, HM1 GZ-HM200, GZHM200, HM200 GZ-HM400, GZHM400, HM400 GZ-X900, GZX900, X900</t>
  </si>
  <si>
    <t>Victor JVC BN-VG121, BN-VG121U, BN-VG121E, BN-VG121US, BN-VG121USM, BNVG121, BNVG121U, BNVG121E, BNVG121USM, LY37166-002B, LY37166-002C</t>
  </si>
  <si>
    <t>Nikon Coolpix P1 Nikon Coolpix P2 Nikon Coolpix S1 Nikon Coolpix S2 Nikon Coolpix S3 Nikon Coolpix S5 Nikon Coolpix S50 Nikon Coolpix S50c Nikon Coolpix S51 Nikon Coolpix S51c Nikon Coolpix S52 Nikon Coolpix S52c Nikon Coolpix S6 Nikon Coolpix S7 Nikon Coolpix S7c Nikon Coolpix S8 Nikon Coolpix S9 Nikon Cool-Station MV-11, MV11 Nikon Cool-Station MV-12, MV12</t>
  </si>
  <si>
    <t>Nikon EN-EL8, ENEL8</t>
  </si>
  <si>
    <t>Nikon D40 DSLR, Nikon D40 Nikon D40X DSLR, Nikon D40X Nikon D60 DSLR, Nikon D60 Nikon D3000 DSLR, Nikon D3000 Nikon D5000 DSLR, Nikon D5000</t>
  </si>
  <si>
    <t>Nikon EN-EL9, ENEL9, EN-EL9a, ENEL9a, EN-EL9e, ENEL9e</t>
  </si>
  <si>
    <t>Pentax K-50 Pentax K-30 Pentax K-r Pentax K-S1 Pentax K-S2</t>
  </si>
  <si>
    <t>Pentax D-LI109, DLI109, Pentax D-L1109, DL-1109, DL1109</t>
  </si>
  <si>
    <t>µ 550WP µ 700 µ 7000 µ 710 µ 720 µ 720SW µ 725SW µ 730 µ 740 µ 750 µ 760 µ 770SW µ 780 µ 790SW µ 795SW µ 820 µ 830 µ 840 µ 850SW µ 1040 µ 1050SW µ 1060 µ 1070 µ 1200 µ 5000 D-630, D630 D-720, D720 D-725, D725 D-730, D730 FE-150, FE150 FE-160, FE160 FE-190, FE190 FE-220, FE220 FE-230, FE230 FE-240, FE240 FE-250, FE250 FE-280, FE280 FE-290, FE290 FE-300, FE300 FE-320, FE320 FE-330, FE330 FE-340, FE340 FE-350, FE350 FE-360, FE360 FE-3000, FE3000 FE-3010, FE3010 FE-4000, FE4000 FE-4010, FE4010 FE-4030, FE4030 FE-5000, FE5000 FE-5010, FE5010 FE-5020, FE5020 FE-5500, FE5500 IR-300, IR300 SP-700, SP700 Stylus 550WP Stylus 700 Stylus 710 Stylus 720SW Stylus 725 Stylus 730 Stylus 740 Stylus 750 Stylus 760 Stylus 770SW Stylus 780 Stylus 790SW Stylus 820 Stylus 830 Stylus 840 Stylus 850SW Stylus 1040 Stylus 1050SW Stylus 1200 Stylus 5010, Stylus 5010 Stylus 7000, Stylus 7000 Stylus 7010, Stylus 7010 Stylus 7020, Stylus 7020 Stylus 7030, Stylus 7030 Stylus 7040, Stylus 7040 TG-310, TG310 TG-320, TG320 Tough-3000, Tough 3000 VG-165, VG165 VG-180, VG180 VH-210, VH210 VG-165, VG165 VG-180, VG180 VR-310, VR310 VR-320, VR320 VR-330, VR330 X-600, X600 X-730, X730 X-785, X785 X-790, X790 X-795, X795 X-800, X800 X-835, X835 X-845, X845 X-855, X855 X-875, X875</t>
  </si>
  <si>
    <t>Olympus LI-40B, Olympus LI40B, Olympus LI-42B, Olympus LI42B</t>
  </si>
  <si>
    <t>Olympus MJU 1010 Olympus MJU 1020 Olympus MJU 1030SW Olympus SH-21, Olympus SH21 Olympus SH-25MR, Olympus SH25 Olympus SP-720UZ, SP720UZ Olympus SP-800UZ, SP800UZ Olympus SP-810UZ, SP810UZ Olympus Stylus 1010 Olympus Stylus 1020 Olympus Stylus 1030SW, 1030SW Olympus Stylus 9000 Olympus Stylus Tough-6000, Tough 6000 Olympus Stylus Tough-6020, Tough 6020 Olympus Stylus Tough-8000, Tough 8000 Olympus Stylus Tough-8010, Tough 8010 Olympus SZ-10, SZ10 Olympus SZ-11, SZ11 Olympus SZ-12, SZ12 Olympus SZ-14, SZ14 Olympus SZ-15, SZ15 Olympus SZ-16, SZ16 Olympus SZ-17, SZ17 Olympus SZ-20, SZ20 Olympus SZ-30MR, SZ30MR Olympus SZ-31MR, SZ31MR Olympus Tough TG-610, TG610 Olympus Tough TG-620, TG620 Olympus Tough TG-630, TG630 Olympus Tough TG-810, TG810 Olympus Tough TG-820, TG820 Olympus Tough TG-830, TG830 Olympus Tough TG-850, TG850 Olympus Tough TG-860 iHS, TG860 Olympus VG-170, Olympus VG170 Olympus VG-190, Olympus VG190 Olympus VH-410, Olympus VH410 Olympus VH-510, Olympus VH510 Olympus VH-520, Olympus VH520 Olympus VR-340, Olympus VR340 Olympus VR-350, Olympus VR350 Olympus VR-360, Olympus VR360 Olympus VR-370, Olympus VR370 Olympus XZ-1, XZ1 Olympus XZ-10, XZ10</t>
  </si>
  <si>
    <t>Olympus LI-50B, Olympus LI50B</t>
  </si>
  <si>
    <t>Olympus D-705, D705 Olympus D-710, D710 Olympus D-715, D715 Olympus FE-4020, FE4020 Olympus FE-4040, FE4040 Olympus VG-110, VG110 Olympus VG-120, VG120 Olympus VG-140, VG140 Olympus VG-150, VG150 Olympus VG-160, VG160 Olympus VR-120, VR120 Olympus VR-130, VR130 Olympus VR-140, VR140 Olympus VR-145, VR145 Olympus X-940, X940</t>
  </si>
  <si>
    <t>Olympus LI-70B, Olympus LI70B</t>
  </si>
  <si>
    <t>Pentax K-01 SLR, K01 DSLR Pentax K-3 SLR, K-3 DSLR Pentax K-3 II SLR, K-3 II DSLR Pentax K-5 SLR, K5 DSLR Pentax K-5 II SLR, K5 II DSLR, K5II Pentax K-5 IIS SLR, K5 IIS DSLR, K5IIS Pentax K-7 SLR, K7 DSLR Pentax 645D Pentax 645Z</t>
  </si>
  <si>
    <t>Pentax D-LI90, DLI90, Pentax D-L190, DL-190, DL190, D-LI90E</t>
  </si>
  <si>
    <t>Olympus XZ-2 iHS, XZ2 Olympus SH-50 iHS, SH50 Olympus SH-1, SH1 Olympus Stylus SP-100, SP100 Olympus Stylus Tough TG-1 iHS, TG1 Olympus Stylus Tough TG-2 iHS, TG2 Olympus Stylus Tough TG-3, TG3</t>
  </si>
  <si>
    <t>Olympus LI-90B, Olympus LI90B, LI-92B, LI92B</t>
  </si>
  <si>
    <t>Canon EOS Rebel T3 Canon EOS 1100D Canon EOS Kiss X50 Canon EOS Rebel T5 Canon EOS 1200D Canon EOS Rebel T6 Canon EOS 1300D</t>
  </si>
  <si>
    <t>Canon LP-E10, Canon LPE10, 5108B002</t>
  </si>
  <si>
    <t>Canon EOS M / EOS-M, Canon M Canon EOS M2, Canon M2 Canon EOS M10, Canon M10 Canon EOS Rebel SL1, Canon Rebel SL1, Canon SL1 Canon EOS 100D, Canon 100D</t>
  </si>
  <si>
    <t>Canon LP-E12, Canon LPE12, 6760B002</t>
  </si>
  <si>
    <t>Canon EOS Rebel XSi Canon EOS Rebel XS Canon EOS 450D Canon EOS 500D Canon EOS 1000D Canon EOS Kiss F Canon EOS Kiss X2 Canon EOS Kiss X3 Canon EOS Rebel T1i</t>
  </si>
  <si>
    <t>Canon LP-E5, Canon LPE5, 3039B001</t>
  </si>
  <si>
    <t>Canon EOS 5D Mark II Canon EOS 5D Mark III Canon EOS 5DS Canon EOS 5DS R Canon 6D Canon EOS 7D Canon EOS 7D Mark II Canon EOS 60D Canon EOS 60Da Canon EOS 70D Canon XC10</t>
  </si>
  <si>
    <t>Canon LP-E6, Canon LP-E6N, Canon LC-E6, Canon LCE6, 3347B001, CBC-E6</t>
  </si>
  <si>
    <t>Canon EOS 550D Canon EOS 600D Canon EOS 650D Canon EOS 700D Canon EOS Kiss X4 Canon EOS Kiss X5 Canon EOS Kiss X6 Canon EOS Rebel T2i Canon EOS Rebel T3i Canon EOS Rebel T4i Canon EOS Rebel T5i</t>
  </si>
  <si>
    <t>Canon LP-E8, Canon LPE8, 4515B002</t>
  </si>
  <si>
    <t>Paste for Bbatt</t>
  </si>
  <si>
    <t>Original for AMZ</t>
  </si>
  <si>
    <t>XT+CH for AMZ</t>
  </si>
  <si>
    <t>Gopro HD HERO3 White Edition Gopro HD HERO3 AHDBT-301 / AHDBT-302  Black Edition Gopro HD HERO3 Silver Edition GoPro HERO3+ Black Edition GoPro HERO3+ Silver Edition</t>
  </si>
  <si>
    <t>AHDBT-301 battery charger features world-traveler input voltage of 110v-240v, smart circuit design, and LED indicators with automatic current control to protect battery from overcharging, short circuit, and electronic shock</t>
  </si>
  <si>
    <t>XTCHBCG10</t>
  </si>
  <si>
    <t>XTCHBCH7</t>
  </si>
  <si>
    <t>XTCHBCJ13</t>
  </si>
  <si>
    <t>XTCHBCK7</t>
  </si>
  <si>
    <t>XTCHBCL7</t>
  </si>
  <si>
    <t>XTCHBCM13</t>
  </si>
  <si>
    <t>XTCHBCN10</t>
  </si>
  <si>
    <t>XTCHBLC12</t>
  </si>
  <si>
    <t>XTCHBLD10</t>
  </si>
  <si>
    <t>XTCHBLE9</t>
  </si>
  <si>
    <t>XTCHBLF19</t>
  </si>
  <si>
    <t>XTCHBLG10</t>
  </si>
  <si>
    <t>XTCHBLS1</t>
  </si>
  <si>
    <t>XTCHBMB9</t>
  </si>
  <si>
    <t>XTCHBN1</t>
  </si>
  <si>
    <t>XTCHBNVG121</t>
  </si>
  <si>
    <t>XTCHBP1030</t>
  </si>
  <si>
    <t>XTCHBP110</t>
  </si>
  <si>
    <t>XTCHBP1310</t>
  </si>
  <si>
    <t>XTCHBP511</t>
  </si>
  <si>
    <t>XTCHBP70A</t>
  </si>
  <si>
    <t>XTCHBP727</t>
  </si>
  <si>
    <t>XTCHBP819</t>
  </si>
  <si>
    <t>XTCHBP970</t>
  </si>
  <si>
    <t>XTCHBX1</t>
  </si>
  <si>
    <t>XTCHD54</t>
  </si>
  <si>
    <t>XTCHENEL12</t>
  </si>
  <si>
    <t>XTCHENEL14</t>
  </si>
  <si>
    <t>XTCHENEL15</t>
  </si>
  <si>
    <t>XTCHENEL19</t>
  </si>
  <si>
    <t>XTCHENEL20</t>
  </si>
  <si>
    <t>XTCHENEL21</t>
  </si>
  <si>
    <t>XTCHENEL23</t>
  </si>
  <si>
    <t>XTCHENEL24</t>
  </si>
  <si>
    <t>XTCHENEL3E</t>
  </si>
  <si>
    <t>XTCHENEL5</t>
  </si>
  <si>
    <t>XTCHENEL8</t>
  </si>
  <si>
    <t>XTCHENEL9</t>
  </si>
  <si>
    <t>XTCHFG1</t>
  </si>
  <si>
    <t>XTCHFV50</t>
  </si>
  <si>
    <t>XTCHFW50</t>
  </si>
  <si>
    <t>XTCHGPDUAL</t>
  </si>
  <si>
    <t>XTCHGPDUAL4</t>
  </si>
  <si>
    <t>XTCHGPH3</t>
  </si>
  <si>
    <t>XTCHGPH4</t>
  </si>
  <si>
    <t>XTCHLI109</t>
  </si>
  <si>
    <t xml:space="preserve"> XTCHLI42B</t>
  </si>
  <si>
    <t>XTCHLI50B</t>
  </si>
  <si>
    <t>XTCHLI70B</t>
  </si>
  <si>
    <t>XTCHLI90</t>
  </si>
  <si>
    <t>XTCHLI90B</t>
  </si>
  <si>
    <t>XTCHLPE10</t>
  </si>
  <si>
    <t>XTCHLPE12</t>
  </si>
  <si>
    <t>XTCHLPE5</t>
  </si>
  <si>
    <t>XTCHLPE6</t>
  </si>
  <si>
    <t>XTCHLPE8</t>
  </si>
  <si>
    <t>XTCHNB10L</t>
  </si>
  <si>
    <t>XTCHNB11L</t>
  </si>
  <si>
    <t>XTCHNB12L</t>
  </si>
  <si>
    <t>XTCHNB2LH</t>
  </si>
  <si>
    <t>XTCHNB4L</t>
  </si>
  <si>
    <t>XTCHNB5L</t>
  </si>
  <si>
    <t>XTCHNB6L</t>
  </si>
  <si>
    <t>XTCHNB7L</t>
  </si>
  <si>
    <t>XTCHNB8L</t>
  </si>
  <si>
    <t>XTCHNB9L</t>
  </si>
  <si>
    <t>XTCHNP45</t>
  </si>
  <si>
    <t>XTCHNP50</t>
  </si>
  <si>
    <t>XTCHNP85</t>
  </si>
  <si>
    <t>XTCHNP95</t>
  </si>
  <si>
    <t>XTCHNPBY1</t>
  </si>
  <si>
    <t>XTCHNPF975</t>
  </si>
  <si>
    <t>XTCHNPW126</t>
  </si>
  <si>
    <t>XTCHSLB10A</t>
  </si>
  <si>
    <t>XTCHVBG</t>
  </si>
  <si>
    <t>XTCHVBK180</t>
  </si>
  <si>
    <t>XTCHVBN130</t>
  </si>
  <si>
    <t>XTCHVF815</t>
  </si>
  <si>
    <t>BCG10</t>
  </si>
  <si>
    <t>BCH7</t>
  </si>
  <si>
    <t>BCJ13</t>
  </si>
  <si>
    <t>BCK7</t>
  </si>
  <si>
    <t>BCL7</t>
  </si>
  <si>
    <t>BCM13</t>
  </si>
  <si>
    <t>BCN10</t>
  </si>
  <si>
    <t>BLC12</t>
  </si>
  <si>
    <t>BLD10</t>
  </si>
  <si>
    <t>BLE9</t>
  </si>
  <si>
    <t>BLF19</t>
  </si>
  <si>
    <t>BLG10</t>
  </si>
  <si>
    <t>BLS1</t>
  </si>
  <si>
    <t>BMB9</t>
  </si>
  <si>
    <t>BN1</t>
  </si>
  <si>
    <t>BNVG121</t>
  </si>
  <si>
    <t>BP1030</t>
  </si>
  <si>
    <t>BP110</t>
  </si>
  <si>
    <t>BP1310</t>
  </si>
  <si>
    <t>BP511</t>
  </si>
  <si>
    <t>BP70A</t>
  </si>
  <si>
    <t>BP727</t>
  </si>
  <si>
    <t>BP819</t>
  </si>
  <si>
    <t>BP970</t>
  </si>
  <si>
    <t>BX1</t>
  </si>
  <si>
    <t>D54</t>
  </si>
  <si>
    <t>ENEL12</t>
  </si>
  <si>
    <t>ENEL14</t>
  </si>
  <si>
    <t>ENEL15</t>
  </si>
  <si>
    <t>ENEL19</t>
  </si>
  <si>
    <t>ENEL20</t>
  </si>
  <si>
    <t>ENEL21</t>
  </si>
  <si>
    <t>ENEL24</t>
  </si>
  <si>
    <t>ENEL3E</t>
  </si>
  <si>
    <t>ENEL5</t>
  </si>
  <si>
    <t>FG1</t>
  </si>
  <si>
    <t>FV50</t>
  </si>
  <si>
    <t>FW50</t>
  </si>
  <si>
    <t>GPDUAL</t>
  </si>
  <si>
    <t>GPDUAL4</t>
  </si>
  <si>
    <t>GPH4</t>
  </si>
  <si>
    <t>HLI42B</t>
  </si>
  <si>
    <t>NB12L</t>
  </si>
  <si>
    <t>NPBY1</t>
  </si>
  <si>
    <t>VBG</t>
  </si>
  <si>
    <t>XTB7</t>
  </si>
  <si>
    <t>XTBN1</t>
  </si>
  <si>
    <t>XTBNVG121</t>
  </si>
  <si>
    <t>XTBP727</t>
  </si>
  <si>
    <t>XTBP970</t>
  </si>
  <si>
    <t>XTBX1</t>
  </si>
  <si>
    <t>XTD54</t>
  </si>
  <si>
    <t>XTENEL24</t>
  </si>
  <si>
    <t>XTFG1</t>
  </si>
  <si>
    <t>XTFV50</t>
  </si>
  <si>
    <t>XTFW50</t>
  </si>
  <si>
    <t>XTGPDUAL</t>
  </si>
  <si>
    <t>XTGPDUAL4</t>
  </si>
  <si>
    <t>XTGPH4</t>
  </si>
  <si>
    <t>XTNB12L</t>
  </si>
  <si>
    <t>XTNPBY1</t>
  </si>
  <si>
    <t>XTVBG</t>
  </si>
  <si>
    <t>DEA65 DEA66</t>
  </si>
  <si>
    <t>DEA75B</t>
  </si>
  <si>
    <t>DEA81 DMWBTC5</t>
  </si>
  <si>
    <t>DEA91A DEA91B NCAYN101G DMWBTC8</t>
  </si>
  <si>
    <t xml:space="preserve">DEA91A DEA91B DMWBTC8 NCAYN101G </t>
  </si>
  <si>
    <t>VSK0800 </t>
  </si>
  <si>
    <t>DMCLF1</t>
  </si>
  <si>
    <t> DEA79B</t>
  </si>
  <si>
    <t>DEA93A DEA93B DMWBTC7</t>
  </si>
  <si>
    <t>DEA99A DEA99B DMWBTC9</t>
  </si>
  <si>
    <t>DMWBTC10</t>
  </si>
  <si>
    <t>DMWBLG10</t>
  </si>
  <si>
    <t>PSBCS1 BCS1</t>
  </si>
  <si>
    <t>DEA83 DMWBTC4</t>
  </si>
  <si>
    <t>BCCSN BCCSN</t>
  </si>
  <si>
    <t>AAVG1 AAVG1U</t>
  </si>
  <si>
    <t xml:space="preserve">EDBP1030 EDBP1130 </t>
  </si>
  <si>
    <t>CG110</t>
  </si>
  <si>
    <t>EDBP1310 BP1310</t>
  </si>
  <si>
    <t>CB5L CG560 CG570 CG580</t>
  </si>
  <si>
    <t>EABP70A BP70A IABP70A</t>
  </si>
  <si>
    <t>CG700 BP709 BP718 BP745</t>
  </si>
  <si>
    <t>CG800 BP807 BP808 BP809 BP819 BP820 BP827 BP828</t>
  </si>
  <si>
    <t>CG900 BP950G, BP955, BP970G, BP975 BP925</t>
  </si>
  <si>
    <t>BCTRX</t>
  </si>
  <si>
    <t>CGRD08 CGRD16 CGRD28 CGAD54 CGRD120 CGRD220 CGRD320</t>
  </si>
  <si>
    <t>MH65</t>
  </si>
  <si>
    <t>MH24</t>
  </si>
  <si>
    <t>MH25 MH25A</t>
  </si>
  <si>
    <t>MH66</t>
  </si>
  <si>
    <t>MH27</t>
  </si>
  <si>
    <t>MH28</t>
  </si>
  <si>
    <t>MH67P MH67</t>
  </si>
  <si>
    <t>MH31</t>
  </si>
  <si>
    <t>MH18 MH19</t>
  </si>
  <si>
    <t>MH61</t>
  </si>
  <si>
    <t>MH62</t>
  </si>
  <si>
    <t>MH23</t>
  </si>
  <si>
    <t>BCCSG BCTRG</t>
  </si>
  <si>
    <t>CB2LT CB2LW</t>
  </si>
  <si>
    <t>BCTRW</t>
  </si>
  <si>
    <t>AHDBT301 / AHDBT302</t>
  </si>
  <si>
    <t>AHDBT401</t>
  </si>
  <si>
    <t xml:space="preserve">AHDBT301 / AHDBT302 </t>
  </si>
  <si>
    <t>DBC109 KBC109 DBC109</t>
  </si>
  <si>
    <t>LI40C LI41C Li42C</t>
  </si>
  <si>
    <t>LI50C / UC50</t>
  </si>
  <si>
    <t>LI70C</t>
  </si>
  <si>
    <t>UC90</t>
  </si>
  <si>
    <t>LCE10 CBCE10</t>
  </si>
  <si>
    <t>LCE12</t>
  </si>
  <si>
    <t>LCE5 CBCE5</t>
  </si>
  <si>
    <t>LCE6</t>
  </si>
  <si>
    <t xml:space="preserve">LCE8
</t>
  </si>
  <si>
    <t>CB2LC </t>
  </si>
  <si>
    <t>CB2LD</t>
  </si>
  <si>
    <t>CB2LE</t>
  </si>
  <si>
    <t>CB2LV</t>
  </si>
  <si>
    <t>CB2LX</t>
  </si>
  <si>
    <t>NB6L NB6LH</t>
  </si>
  <si>
    <t>CB2LZ</t>
  </si>
  <si>
    <t> CB2LA</t>
  </si>
  <si>
    <t>CB2LB</t>
  </si>
  <si>
    <t>BC45 BC45A BC45W BC45B</t>
  </si>
  <si>
    <t>BC50 BC45W</t>
  </si>
  <si>
    <t>BC85</t>
  </si>
  <si>
    <t>BC65S BC65N BC95</t>
  </si>
  <si>
    <t>BCW126</t>
  </si>
  <si>
    <t>VWBC10</t>
  </si>
  <si>
    <t>VWBC20</t>
  </si>
  <si>
    <t>AAVF8U AAVF8USM</t>
  </si>
  <si>
    <t>DEA79B</t>
  </si>
  <si>
    <t xml:space="preserve"> DE-A65 DE-A66</t>
  </si>
  <si>
    <t xml:space="preserve"> DE-A75B</t>
  </si>
  <si>
    <t xml:space="preserve"> DE-A81 DMW-BTC5</t>
  </si>
  <si>
    <t xml:space="preserve"> DE-A91A DE-A91B NCA-YN101G DMW-BTC8</t>
  </si>
  <si>
    <t xml:space="preserve"> DE-A91A DE-A91B DMW-BTC8 NCA-YN101G </t>
  </si>
  <si>
    <t xml:space="preserve"> VSK0800 </t>
  </si>
  <si>
    <t xml:space="preserve"> DMC-LF1</t>
  </si>
  <si>
    <t> DE-A79B</t>
  </si>
  <si>
    <t xml:space="preserve"> DE-A93A DE-A93B DMW-BTC7</t>
  </si>
  <si>
    <t xml:space="preserve"> DE-A99A DE-A99B DMW-BTC9</t>
  </si>
  <si>
    <t xml:space="preserve"> DMW-BTC10</t>
  </si>
  <si>
    <t xml:space="preserve"> DMW-BLG10</t>
  </si>
  <si>
    <t xml:space="preserve"> PS-BCS1 BCS1</t>
  </si>
  <si>
    <t xml:space="preserve"> DE-A83 DMW-BTC4</t>
  </si>
  <si>
    <t xml:space="preserve"> BC-CSN BCCSN</t>
  </si>
  <si>
    <t xml:space="preserve"> AA-VG1 AA-VG1U</t>
  </si>
  <si>
    <t xml:space="preserve">ED-BP1030 ED-BP1130 </t>
  </si>
  <si>
    <t xml:space="preserve"> CG-110</t>
  </si>
  <si>
    <t xml:space="preserve"> ED-BP1310 BP1310</t>
  </si>
  <si>
    <t xml:space="preserve"> CB-5L CG-560 CG-570 CG-580</t>
  </si>
  <si>
    <t xml:space="preserve"> EA-BP70A BP70A IA-BP70A</t>
  </si>
  <si>
    <t xml:space="preserve"> CG-700 BP-709 BP-718 BP-745</t>
  </si>
  <si>
    <t xml:space="preserve"> CG-800 BP-807 BP-808 BP-809 BP-819 BP-820 BP-827 BP-828</t>
  </si>
  <si>
    <t xml:space="preserve"> CG-900 BP-950G, BP-955, BP-970G, BP-975 BP-925</t>
  </si>
  <si>
    <t xml:space="preserve"> BC-TRX</t>
  </si>
  <si>
    <t xml:space="preserve"> CGR-D08 CGR-D16 CGR-D28 CGA-D54 CGR-D120 CGR-D220 CGR-D320</t>
  </si>
  <si>
    <t xml:space="preserve"> MH-65</t>
  </si>
  <si>
    <t xml:space="preserve"> MH-24</t>
  </si>
  <si>
    <t xml:space="preserve"> MH-25 MH-25A</t>
  </si>
  <si>
    <t xml:space="preserve"> MH-66</t>
  </si>
  <si>
    <t xml:space="preserve"> MH-27</t>
  </si>
  <si>
    <t xml:space="preserve"> MH-28</t>
  </si>
  <si>
    <t xml:space="preserve"> MH-67P MH-67</t>
  </si>
  <si>
    <t xml:space="preserve"> MH-31</t>
  </si>
  <si>
    <t xml:space="preserve"> MH-18 MH-19</t>
  </si>
  <si>
    <t xml:space="preserve"> MH-61</t>
  </si>
  <si>
    <t xml:space="preserve"> MH-62</t>
  </si>
  <si>
    <t xml:space="preserve"> MH-23</t>
  </si>
  <si>
    <t xml:space="preserve"> BC-CSG BC-TRG</t>
  </si>
  <si>
    <t xml:space="preserve"> CB-2LT CB-2LW</t>
  </si>
  <si>
    <t xml:space="preserve"> BC-TRW</t>
  </si>
  <si>
    <t xml:space="preserve"> AHDBT-301 / AHDBT-302</t>
  </si>
  <si>
    <t xml:space="preserve"> AHDBT-401</t>
  </si>
  <si>
    <t xml:space="preserve"> D-BC109 K-BC109 DBC109</t>
  </si>
  <si>
    <t xml:space="preserve"> LI-40C LI-41C Li-42C</t>
  </si>
  <si>
    <t>LI-50C / UC-50</t>
  </si>
  <si>
    <t>LI-70C</t>
  </si>
  <si>
    <t>UC-90</t>
  </si>
  <si>
    <t>LC-E10 CBC-E10</t>
  </si>
  <si>
    <t>LC-E12</t>
  </si>
  <si>
    <t>LC-E5 CBC-E5</t>
  </si>
  <si>
    <t>LC-E6</t>
  </si>
  <si>
    <t>LC-E8</t>
  </si>
  <si>
    <t>CB-2LC </t>
  </si>
  <si>
    <t>CB-2LD</t>
  </si>
  <si>
    <t>CB-2LE</t>
  </si>
  <si>
    <t>CB-2LT CB-2LW</t>
  </si>
  <si>
    <t>CB-2LV</t>
  </si>
  <si>
    <t>CB-2LX</t>
  </si>
  <si>
    <t>NB-6L NB-6LH</t>
  </si>
  <si>
    <t>CB-2LZ</t>
  </si>
  <si>
    <t> CB-2LA</t>
  </si>
  <si>
    <t>CB-2LB</t>
  </si>
  <si>
    <t>BC-45 BC-45A BC-45W BC-45B</t>
  </si>
  <si>
    <t>BC-50 BC-45W</t>
  </si>
  <si>
    <t>BC-85</t>
  </si>
  <si>
    <t>BC-65S BC-65N BC-95</t>
  </si>
  <si>
    <t>BC-W126</t>
  </si>
  <si>
    <t>VW-BC10</t>
  </si>
  <si>
    <t>VW-BC20</t>
  </si>
  <si>
    <t>AA-VF8U AA-VF8USM</t>
  </si>
  <si>
    <t>batteries volt mah shock electric</t>
  </si>
  <si>
    <t xml:space="preserve"> LI109</t>
  </si>
  <si>
    <t xml:space="preserve"> LI42B</t>
  </si>
  <si>
    <t xml:space="preserve"> LI50B</t>
  </si>
  <si>
    <t xml:space="preserve"> LI70B</t>
  </si>
  <si>
    <t xml:space="preserve"> LI90</t>
  </si>
  <si>
    <t xml:space="preserve"> LI90B</t>
  </si>
  <si>
    <t xml:space="preserve"> LPE10</t>
  </si>
  <si>
    <t xml:space="preserve"> LPE12</t>
  </si>
  <si>
    <t xml:space="preserve"> LPE5</t>
  </si>
  <si>
    <t xml:space="preserve"> LPE6</t>
  </si>
  <si>
    <t xml:space="preserve"> LPE8</t>
  </si>
  <si>
    <t xml:space="preserve"> NB10L</t>
  </si>
  <si>
    <t xml:space="preserve"> NB11L</t>
  </si>
  <si>
    <t xml:space="preserve"> NB12L</t>
  </si>
  <si>
    <t xml:space="preserve"> NB2LH</t>
  </si>
  <si>
    <t xml:space="preserve"> NB4L</t>
  </si>
  <si>
    <t xml:space="preserve"> NB5L</t>
  </si>
  <si>
    <t xml:space="preserve"> NB6L</t>
  </si>
  <si>
    <t xml:space="preserve"> NB7L</t>
  </si>
  <si>
    <t xml:space="preserve"> NB8L</t>
  </si>
  <si>
    <t xml:space="preserve"> NB9L</t>
  </si>
  <si>
    <t xml:space="preserve"> NP45</t>
  </si>
  <si>
    <t xml:space="preserve"> NP50</t>
  </si>
  <si>
    <t xml:space="preserve"> NP85</t>
  </si>
  <si>
    <t xml:space="preserve"> NP95</t>
  </si>
  <si>
    <t xml:space="preserve"> NPBY1</t>
  </si>
  <si>
    <t xml:space="preserve"> NPF975</t>
  </si>
  <si>
    <t xml:space="preserve"> NPW126</t>
  </si>
  <si>
    <t xml:space="preserve"> SLB10A</t>
  </si>
  <si>
    <t xml:space="preserve"> VBG</t>
  </si>
  <si>
    <t xml:space="preserve"> VBK180</t>
  </si>
  <si>
    <t xml:space="preserve"> VBN130</t>
  </si>
  <si>
    <t xml:space="preserve"> VF815</t>
  </si>
  <si>
    <t>Original</t>
  </si>
  <si>
    <t>Just XT</t>
  </si>
  <si>
    <t>Main keywords</t>
  </si>
  <si>
    <t>volt mah shock electric Batteries battery camera kamera camcorder dslr digital lithium lithium-ion charger rechargeable</t>
  </si>
  <si>
    <t xml:space="preserve">ED-BP1030 ED-BP1130  EDBP1030 EDBP1130 </t>
  </si>
  <si>
    <t xml:space="preserve"> MH-65 MH65</t>
  </si>
  <si>
    <t xml:space="preserve"> MH-24 MH24</t>
  </si>
  <si>
    <t xml:space="preserve"> MH-25 MH-25A MH25 MH25A</t>
  </si>
  <si>
    <t xml:space="preserve"> MH-66 MH66</t>
  </si>
  <si>
    <t xml:space="preserve"> MH-27 MH27</t>
  </si>
  <si>
    <t xml:space="preserve"> MH-28 MH28</t>
  </si>
  <si>
    <t xml:space="preserve"> MH-67P MH-67 MH67P MH67</t>
  </si>
  <si>
    <t xml:space="preserve"> MH-31 MH31</t>
  </si>
  <si>
    <t xml:space="preserve"> MH-18 MH-19 MH18 MH19</t>
  </si>
  <si>
    <t xml:space="preserve"> MH-61 MH61</t>
  </si>
  <si>
    <t xml:space="preserve"> MH-62 MH62</t>
  </si>
  <si>
    <t xml:space="preserve"> MH-23 MH23</t>
  </si>
  <si>
    <t xml:space="preserve"> BC-CSG BC-TRG BCCSG BCTRG</t>
  </si>
  <si>
    <t xml:space="preserve"> CB-2LT CB-2LW CB2LT CB2LW</t>
  </si>
  <si>
    <t xml:space="preserve"> BC-TRW BCTRW</t>
  </si>
  <si>
    <t xml:space="preserve"> AHDBT-301 / AHDBT-302 AHDBT301 / AHDBT302</t>
  </si>
  <si>
    <t xml:space="preserve"> AHDBT-401 AHDBT401</t>
  </si>
  <si>
    <t xml:space="preserve"> AHDBT-301 / AHDBT-302 AHDBT301 / AHDBT302 </t>
  </si>
  <si>
    <t xml:space="preserve"> D-BC109 K-BC109 DBC109 DBC109 KBC109 DBC109</t>
  </si>
  <si>
    <t xml:space="preserve"> LI-40C LI-41C Li-42C LI40C LI41C Li42C</t>
  </si>
  <si>
    <t>LI-50C / UC-50 LI50C / UC50</t>
  </si>
  <si>
    <t>LI-70C LI70C</t>
  </si>
  <si>
    <t>UC-90 UC90</t>
  </si>
  <si>
    <t>LC-E10 CBC-E10 LCE10 CBCE10</t>
  </si>
  <si>
    <t>LC-E12 LCE12</t>
  </si>
  <si>
    <t>LC-E5 CBC-E5 LCE5 CBCE5</t>
  </si>
  <si>
    <t>LC-E6 LCE6</t>
  </si>
  <si>
    <t xml:space="preserve">LC-E8 LCE8
</t>
  </si>
  <si>
    <t>CB-2LC  CB2LC </t>
  </si>
  <si>
    <t>CB-2LD CB2LD</t>
  </si>
  <si>
    <t>CB-2LE CB2LE</t>
  </si>
  <si>
    <t>CB-2LT CB-2LW CB2LT CB2LW</t>
  </si>
  <si>
    <t>CB-2LV CB2LV</t>
  </si>
  <si>
    <t>CB-2LX CB2LX</t>
  </si>
  <si>
    <t>NB-6L NB-6LH NB6L NB6LH</t>
  </si>
  <si>
    <t>CB-2LZ CB2LZ</t>
  </si>
  <si>
    <t> CB-2LA  CB2LA</t>
  </si>
  <si>
    <t>CB-2LB CB2LB</t>
  </si>
  <si>
    <t>BC-45 BC-45A BC-45W BC-45B BC45 BC45A BC45W BC45B</t>
  </si>
  <si>
    <t>BC-50 BC-45W BC50 BC45W</t>
  </si>
  <si>
    <t>BC-85 BC85</t>
  </si>
  <si>
    <t>BC-65S BC-65N BC-95 BC65S BC65N BC95</t>
  </si>
  <si>
    <t xml:space="preserve"> </t>
  </si>
  <si>
    <t>BC-W126 BCW126</t>
  </si>
  <si>
    <t>VW-BC10 VWBC10</t>
  </si>
  <si>
    <t>VW-BC20 VWBC20</t>
  </si>
  <si>
    <t>AA-VF8U AA-VF8USM AAVF8U AAVF8USM</t>
  </si>
  <si>
    <t>K1-sep</t>
  </si>
  <si>
    <t>K2-sep</t>
  </si>
  <si>
    <t>formula for keywords</t>
  </si>
  <si>
    <t>Rm'd XT + CH</t>
  </si>
  <si>
    <t>CG-110 CG110</t>
  </si>
  <si>
    <t>AA-VG1 AA-VG1U AAVG1 AAVG1U</t>
  </si>
  <si>
    <t>BC-CSN BCCSN BCCSN BCCSN</t>
  </si>
  <si>
    <t>DE-A83 DMW-BTC4 DEA83 DMWBTC4</t>
  </si>
  <si>
    <t>PS-BCS1 BCS1 PSBCS1 BCS1</t>
  </si>
  <si>
    <t>DMW-BLG10 DMWBLG10</t>
  </si>
  <si>
    <t>DMW-BTC10 DMWBTC10</t>
  </si>
  <si>
    <t>DE-A99A DE-A99B DMW-BTC9 DEA99A DEA99B DMWBTC9</t>
  </si>
  <si>
    <t>DE-A93A DE-A93B DMW-BTC7 DEA93A DEA93B DMWBTC7</t>
  </si>
  <si>
    <t>DE-A79B  DEA79B</t>
  </si>
  <si>
    <t>DMC-LF1 DMCLF1</t>
  </si>
  <si>
    <t>VSK0800  VSK0800 </t>
  </si>
  <si>
    <t>DE-A91A DE-A91B NCA-YN101G DMW-BTC8 DEA91A DEA91B NCAYN101G DMWBTC8</t>
  </si>
  <si>
    <t>DE-A81 DMW-BTC5 DEA81 DMWBTC5</t>
  </si>
  <si>
    <t xml:space="preserve">DE-A91A DE-A91B DMW-BTC8 NCA-YN101G  DEA91A DEA91B DMWBTC8 NCAYN101G </t>
  </si>
  <si>
    <t>DE-A75B DEA75B</t>
  </si>
  <si>
    <t>DE-A65 DE-A66 DEA65 DEA66</t>
  </si>
  <si>
    <t>ED-BP1310 BP1310 EDBP1310 BP1310</t>
  </si>
  <si>
    <t>CB-5L CG-560 CG-570 CG-580 CB5L CG560 CG570 CG580</t>
  </si>
  <si>
    <t>EA-BP70A BP70A IA-BP70A EABP70A BP70A IABP70A</t>
  </si>
  <si>
    <t>CG-700 BP-709 BP-718 BP-745 CG700 BP709 BP718 BP745</t>
  </si>
  <si>
    <t>CG-800 BP-807 BP-808 BP-809 BP-819 BP-820 BP-827 BP-828 CG800 BP807 BP808 BP809 BP819 BP820 BP827 BP828</t>
  </si>
  <si>
    <t>CG-900 BP-950G, BP-955, BP-970G, BP-975 BP-925 CG900 BP950G, BP955, BP970G, BP975 BP925</t>
  </si>
  <si>
    <t>BC-TRX BCTRX</t>
  </si>
  <si>
    <t>CGR-D08 CGR-D16 CGR-D28 CGA-D54 CGR-D120 CGR-D220 CGR-D320 CGRD08 CGRD16 CGRD28 CGAD54 CGRD120 CGRD220 CGRD320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</si>
</sst>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15" x14ac:knownFonts="1">
    <font>
      <sz val="11"/>
      <color theme="1"/>
      <name val="Calibri"/>
      <family val="2"/>
      <scheme val="minor"/>
    </font>
    <font>
      <b/>
      <sz val="11"/>
      <color theme="1"/>
      <name val="Calibri"/>
      <family val="2"/>
      <scheme val="minor"/>
    </font>
    <font>
      <b/>
      <sz val="11"/>
      <color rgb="FF3F3F3F"/>
      <name val="Calibri"/>
      <family val="2"/>
      <scheme val="minor"/>
    </font>
    <font>
      <b/>
      <sz val="14"/>
      <color theme="1"/>
      <name val="Calibri"/>
      <family val="2"/>
      <scheme val="minor"/>
    </font>
    <font>
      <b/>
      <sz val="16"/>
      <color rgb="FF3F3F3F"/>
      <name val="Calibri"/>
      <family val="2"/>
      <scheme val="minor"/>
    </font>
    <font>
      <b/>
      <sz val="14"/>
      <color theme="5"/>
      <name val="Calibri"/>
      <family val="2"/>
      <scheme val="minor"/>
    </font>
    <font>
      <sz val="11"/>
      <color theme="5"/>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10"/>
      <name val="Tahoma"/>
      <family val="2"/>
    </font>
    <font>
      <sz val="10"/>
      <color rgb="FFFF0000"/>
      <name val="Tahoma"/>
      <family val="2"/>
    </font>
    <font>
      <b/>
      <sz val="10"/>
      <name val="Tahoma"/>
      <family val="2"/>
    </font>
    <font>
      <b/>
      <sz val="12"/>
      <name val="Tahoma"/>
      <family val="2"/>
    </font>
    <font>
      <b/>
      <sz val="12"/>
      <color theme="1"/>
      <name val="Calibri"/>
      <family val="2"/>
      <scheme val="minor"/>
    </font>
  </fonts>
  <fills count="13">
    <fill>
      <patternFill patternType="none"/>
    </fill>
    <fill>
      <patternFill patternType="gray125"/>
    </fill>
    <fill>
      <patternFill patternType="solid">
        <fgColor rgb="FFF2F2F2"/>
      </patternFill>
    </fill>
    <fill>
      <patternFill patternType="solid">
        <fgColor theme="6" tint="0.39997558519241921"/>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rgb="FFA5A5A5"/>
      </patternFill>
    </fill>
    <fill>
      <patternFill patternType="solid">
        <fgColor theme="9"/>
      </patternFill>
    </fill>
    <fill>
      <patternFill patternType="solid">
        <fgColor theme="5" tint="0.39997558519241921"/>
        <bgColor indexed="64"/>
      </patternFill>
    </fill>
    <fill>
      <patternFill patternType="solid">
        <fgColor theme="9" tint="0.39997558519241921"/>
        <bgColor indexed="64"/>
      </patternFill>
    </fill>
    <fill>
      <patternFill patternType="solid">
        <fgColor theme="4"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5">
    <xf numFmtId="0" fontId="0" fillId="0" borderId="0"/>
    <xf numFmtId="0" fontId="2" fillId="2" borderId="2" applyNumberFormat="0" applyAlignment="0" applyProtection="0"/>
    <xf numFmtId="43" fontId="7" fillId="0" borderId="0" applyFont="0" applyFill="0" applyBorder="0" applyAlignment="0" applyProtection="0"/>
    <xf numFmtId="0" fontId="8" fillId="8" borderId="3" applyNumberFormat="0" applyAlignment="0" applyProtection="0"/>
    <xf numFmtId="0" fontId="9" fillId="9" borderId="0" applyNumberFormat="0" applyBorder="0" applyAlignment="0" applyProtection="0"/>
  </cellStyleXfs>
  <cellXfs count="46">
    <xf numFmtId="0" fontId="0" fillId="0" borderId="0" xfId="0"/>
    <xf numFmtId="0" fontId="0" fillId="0" borderId="1" xfId="0" applyBorder="1"/>
    <xf numFmtId="0" fontId="0" fillId="0" borderId="1" xfId="0" applyBorder="1" applyAlignment="1">
      <alignment vertical="center"/>
    </xf>
    <xf numFmtId="0" fontId="0" fillId="0" borderId="1" xfId="0" applyFill="1" applyBorder="1"/>
    <xf numFmtId="0" fontId="0" fillId="0" borderId="0" xfId="0" applyBorder="1"/>
    <xf numFmtId="0" fontId="0" fillId="0" borderId="0" xfId="0" applyFill="1" applyBorder="1"/>
    <xf numFmtId="0" fontId="1" fillId="0" borderId="0" xfId="0" applyFont="1"/>
    <xf numFmtId="0" fontId="0" fillId="3" borderId="0" xfId="0" applyFill="1"/>
    <xf numFmtId="0" fontId="1" fillId="4" borderId="0" xfId="0" applyFont="1" applyFill="1"/>
    <xf numFmtId="0" fontId="0" fillId="4" borderId="0" xfId="0" applyFill="1"/>
    <xf numFmtId="0" fontId="0" fillId="5" borderId="0" xfId="0" applyFill="1"/>
    <xf numFmtId="0" fontId="3" fillId="4" borderId="0" xfId="0" applyFont="1" applyFill="1"/>
    <xf numFmtId="0" fontId="3" fillId="5" borderId="0" xfId="0" applyFont="1" applyFill="1"/>
    <xf numFmtId="0" fontId="3" fillId="3" borderId="0" xfId="0" applyFont="1" applyFill="1"/>
    <xf numFmtId="0" fontId="3" fillId="0" borderId="0" xfId="0" applyFont="1"/>
    <xf numFmtId="0" fontId="0" fillId="6" borderId="0" xfId="0" applyFill="1"/>
    <xf numFmtId="0" fontId="0" fillId="0" borderId="0" xfId="0" applyFill="1"/>
    <xf numFmtId="0" fontId="3" fillId="6" borderId="0" xfId="0" applyFont="1" applyFill="1"/>
    <xf numFmtId="0" fontId="2" fillId="2" borderId="2" xfId="1"/>
    <xf numFmtId="0" fontId="4" fillId="2" borderId="2" xfId="1" applyFont="1"/>
    <xf numFmtId="0" fontId="3" fillId="7" borderId="0" xfId="0" applyFont="1" applyFill="1"/>
    <xf numFmtId="0" fontId="0" fillId="7" borderId="0" xfId="0" applyFill="1"/>
    <xf numFmtId="0" fontId="0" fillId="7" borderId="0" xfId="0" applyFill="1" applyAlignment="1">
      <alignment vertical="center"/>
    </xf>
    <xf numFmtId="0" fontId="5" fillId="7" borderId="0" xfId="0" applyFont="1" applyFill="1"/>
    <xf numFmtId="0" fontId="6" fillId="7" borderId="0" xfId="0" applyFont="1" applyFill="1"/>
    <xf numFmtId="0" fontId="8" fillId="8" borderId="3" xfId="3"/>
    <xf numFmtId="0" fontId="9" fillId="9" borderId="0" xfId="4"/>
    <xf numFmtId="0" fontId="9" fillId="9" borderId="2" xfId="4" applyBorder="1"/>
    <xf numFmtId="43" fontId="9" fillId="9" borderId="2" xfId="2" applyFont="1" applyFill="1" applyBorder="1"/>
    <xf numFmtId="0" fontId="14" fillId="0" borderId="0" xfId="0" applyFont="1"/>
    <xf numFmtId="0" fontId="13" fillId="10" borderId="0" xfId="0" applyFont="1" applyFill="1"/>
    <xf numFmtId="0" fontId="10" fillId="10" borderId="0" xfId="0" applyFont="1" applyFill="1"/>
    <xf numFmtId="0" fontId="11" fillId="10" borderId="0" xfId="0" applyFont="1" applyFill="1"/>
    <xf numFmtId="0" fontId="0" fillId="10" borderId="0" xfId="0" applyFill="1"/>
    <xf numFmtId="0" fontId="13" fillId="11" borderId="0" xfId="0" applyFont="1" applyFill="1"/>
    <xf numFmtId="0" fontId="10" fillId="11" borderId="0" xfId="0" applyFont="1" applyFill="1"/>
    <xf numFmtId="0" fontId="0" fillId="11" borderId="0" xfId="0" applyFill="1"/>
    <xf numFmtId="0" fontId="13" fillId="6" borderId="0" xfId="0" applyFont="1" applyFill="1"/>
    <xf numFmtId="0" fontId="10" fillId="6" borderId="0" xfId="0" applyFont="1" applyFill="1"/>
    <xf numFmtId="0" fontId="11" fillId="6" borderId="0" xfId="0" applyFont="1" applyFill="1"/>
    <xf numFmtId="0" fontId="13" fillId="12" borderId="0" xfId="0" applyFont="1" applyFill="1"/>
    <xf numFmtId="0" fontId="10" fillId="12" borderId="0" xfId="0" applyFont="1" applyFill="1"/>
    <xf numFmtId="0" fontId="10" fillId="12" borderId="0" xfId="0" applyFont="1" applyFill="1" applyAlignment="1">
      <alignment vertical="center" wrapText="1"/>
    </xf>
    <xf numFmtId="0" fontId="0" fillId="12" borderId="0" xfId="0" applyFill="1"/>
    <xf numFmtId="0" fontId="14" fillId="3" borderId="0" xfId="0" applyFont="1" applyFill="1"/>
    <xf numFmtId="0" fontId="12" fillId="10" borderId="0" xfId="0" applyFont="1" applyFill="1"/>
  </cellXfs>
  <cellStyles count="5">
    <cellStyle name="Accent6" xfId="4" builtinId="49"/>
    <cellStyle name="Check Cell" xfId="3" builtinId="23"/>
    <cellStyle name="Comma" xfId="2" builtinId="3"/>
    <cellStyle name="Normal" xfId="0" builtinId="0"/>
    <cellStyle name="Output" xfId="1" builtinId="21"/>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Views>
    <sheetView workbookViewId="0">
      <pane ySplit="1" topLeftCell="A71" activePane="bottomLeft" state="frozen"/>
      <selection pane="bottomLeft" activeCell="C101" sqref="C101"/>
    </sheetView>
  </sheetViews>
  <sheetFormatPr defaultRowHeight="15" x14ac:dyDescent="0.25"/>
  <cols>
    <col min="1" max="1" width="13.140625" customWidth="1"/>
    <col min="2" max="2" width="12.7109375" bestFit="1" customWidth="1"/>
    <col min="3" max="3" width="16.140625" bestFit="1" customWidth="1"/>
    <col min="4" max="4" width="12" bestFit="1" customWidth="1"/>
    <col min="5" max="5" width="11.28515625" bestFit="1" customWidth="1"/>
    <col min="6" max="6" width="13.7109375" bestFit="1" customWidth="1"/>
    <col min="7" max="7" width="15.42578125" bestFit="1" customWidth="1"/>
    <col min="8" max="8" width="15.5703125" customWidth="1"/>
    <col min="9" max="9" width="23.28515625" bestFit="1" customWidth="1"/>
  </cols>
  <sheetData>
    <row r="1" spans="1:8" x14ac:dyDescent="0.25">
      <c r="A1" s="1" t="s">
        <v>34</v>
      </c>
      <c r="B1" t="s">
        <v>97</v>
      </c>
      <c r="C1" t="s">
        <v>140</v>
      </c>
      <c r="D1" t="s">
        <v>98</v>
      </c>
      <c r="E1" s="1" t="s">
        <v>84</v>
      </c>
      <c r="F1" s="5" t="s">
        <v>138</v>
      </c>
      <c r="G1" s="5" t="s">
        <v>142</v>
      </c>
      <c r="H1" t="s">
        <v>139</v>
      </c>
    </row>
    <row r="2" spans="1:8" x14ac:dyDescent="0.25">
      <c r="A2" s="1" t="s">
        <v>90</v>
      </c>
      <c r="B2" t="str">
        <f t="shared" ref="B2:B40" si="0">"XT"&amp;A2</f>
        <v>XTBCF10</v>
      </c>
      <c r="C2" t="str">
        <f>"XTCH"&amp;A2</f>
        <v>XTCHBCF10</v>
      </c>
      <c r="D2" t="str">
        <f t="shared" ref="D2:D40" si="1">RIGHT(B2, LEN(B2)-2)</f>
        <v>BCF10</v>
      </c>
      <c r="E2" s="1" t="s">
        <v>85</v>
      </c>
      <c r="F2" s="6" t="s">
        <v>99</v>
      </c>
      <c r="G2" t="str">
        <f>C2</f>
        <v>XTCHBCF10</v>
      </c>
      <c r="H2" t="s">
        <v>141</v>
      </c>
    </row>
    <row r="3" spans="1:8" x14ac:dyDescent="0.25">
      <c r="A3" s="1" t="s">
        <v>91</v>
      </c>
      <c r="B3" t="str">
        <f t="shared" si="0"/>
        <v>XTBP1130</v>
      </c>
      <c r="C3" t="str">
        <f t="shared" ref="C3:C40" si="2">"XTCH"&amp;A3</f>
        <v>XTCHBP1130</v>
      </c>
      <c r="D3" t="str">
        <f t="shared" si="1"/>
        <v>BP1130</v>
      </c>
      <c r="E3" s="1" t="s">
        <v>85</v>
      </c>
      <c r="F3" s="6" t="s">
        <v>100</v>
      </c>
      <c r="G3" t="str">
        <f t="shared" ref="G3:G66" si="3">C3</f>
        <v>XTCHBP1130</v>
      </c>
      <c r="H3" t="s">
        <v>141</v>
      </c>
    </row>
    <row r="4" spans="1:8" x14ac:dyDescent="0.25">
      <c r="A4" s="1" t="s">
        <v>89</v>
      </c>
      <c r="B4" t="str">
        <f t="shared" si="0"/>
        <v>XTENEL23</v>
      </c>
      <c r="C4" t="str">
        <f t="shared" si="2"/>
        <v>XTCHENEL23</v>
      </c>
      <c r="D4" t="str">
        <f t="shared" si="1"/>
        <v>ENEL23</v>
      </c>
      <c r="E4" s="1" t="s">
        <v>85</v>
      </c>
      <c r="F4" s="6" t="s">
        <v>101</v>
      </c>
      <c r="G4" t="str">
        <f t="shared" si="3"/>
        <v>XTCHENEL23</v>
      </c>
      <c r="H4" t="s">
        <v>141</v>
      </c>
    </row>
    <row r="5" spans="1:8" x14ac:dyDescent="0.25">
      <c r="A5" s="1" t="s">
        <v>27</v>
      </c>
      <c r="B5" t="str">
        <f t="shared" si="0"/>
        <v>XTNB10L</v>
      </c>
      <c r="C5" t="str">
        <f t="shared" si="2"/>
        <v>XTCHNB10L</v>
      </c>
      <c r="D5" t="str">
        <f t="shared" si="1"/>
        <v>NB10L</v>
      </c>
      <c r="E5" s="1" t="s">
        <v>85</v>
      </c>
      <c r="F5" t="s">
        <v>102</v>
      </c>
      <c r="G5" t="str">
        <f t="shared" si="3"/>
        <v>XTCHNB10L</v>
      </c>
    </row>
    <row r="6" spans="1:8" x14ac:dyDescent="0.25">
      <c r="A6" s="1" t="s">
        <v>26</v>
      </c>
      <c r="B6" t="str">
        <f t="shared" si="0"/>
        <v>XTNB11L</v>
      </c>
      <c r="C6" t="str">
        <f t="shared" si="2"/>
        <v>XTCHNB11L</v>
      </c>
      <c r="D6" t="str">
        <f t="shared" si="1"/>
        <v>NB11L</v>
      </c>
      <c r="E6" s="1" t="s">
        <v>85</v>
      </c>
      <c r="F6" t="s">
        <v>103</v>
      </c>
      <c r="G6" t="str">
        <f t="shared" si="3"/>
        <v>XTCHNB11L</v>
      </c>
    </row>
    <row r="7" spans="1:8" x14ac:dyDescent="0.25">
      <c r="A7" s="1" t="s">
        <v>18</v>
      </c>
      <c r="B7" t="str">
        <f t="shared" si="0"/>
        <v>XTNB2LH</v>
      </c>
      <c r="C7" t="str">
        <f t="shared" si="2"/>
        <v>XTCHNB2LH</v>
      </c>
      <c r="D7" t="str">
        <f t="shared" si="1"/>
        <v>NB2LH</v>
      </c>
      <c r="E7" s="1" t="s">
        <v>85</v>
      </c>
      <c r="F7" t="s">
        <v>104</v>
      </c>
      <c r="G7" t="str">
        <f t="shared" si="3"/>
        <v>XTCHNB2LH</v>
      </c>
    </row>
    <row r="8" spans="1:8" x14ac:dyDescent="0.25">
      <c r="A8" s="1" t="s">
        <v>32</v>
      </c>
      <c r="B8" t="str">
        <f t="shared" si="0"/>
        <v>XTNB4L</v>
      </c>
      <c r="C8" t="str">
        <f t="shared" si="2"/>
        <v>XTCHNB4L</v>
      </c>
      <c r="D8" t="str">
        <f t="shared" si="1"/>
        <v>NB4L</v>
      </c>
      <c r="E8" s="1" t="s">
        <v>85</v>
      </c>
      <c r="F8" t="s">
        <v>105</v>
      </c>
      <c r="G8" t="str">
        <f t="shared" si="3"/>
        <v>XTCHNB4L</v>
      </c>
    </row>
    <row r="9" spans="1:8" x14ac:dyDescent="0.25">
      <c r="A9" s="1" t="s">
        <v>31</v>
      </c>
      <c r="B9" t="str">
        <f t="shared" si="0"/>
        <v>XTNB5L</v>
      </c>
      <c r="C9" t="str">
        <f t="shared" si="2"/>
        <v>XTCHNB5L</v>
      </c>
      <c r="D9" t="str">
        <f t="shared" si="1"/>
        <v>NB5L</v>
      </c>
      <c r="E9" s="1" t="s">
        <v>85</v>
      </c>
      <c r="F9" t="s">
        <v>106</v>
      </c>
      <c r="G9" t="str">
        <f t="shared" si="3"/>
        <v>XTCHNB5L</v>
      </c>
    </row>
    <row r="10" spans="1:8" x14ac:dyDescent="0.25">
      <c r="A10" s="1" t="s">
        <v>30</v>
      </c>
      <c r="B10" t="str">
        <f t="shared" si="0"/>
        <v>XTNB6L</v>
      </c>
      <c r="C10" t="str">
        <f t="shared" si="2"/>
        <v>XTCHNB6L</v>
      </c>
      <c r="D10" t="str">
        <f t="shared" si="1"/>
        <v>NB6L</v>
      </c>
      <c r="E10" s="1" t="s">
        <v>85</v>
      </c>
      <c r="F10" t="s">
        <v>107</v>
      </c>
      <c r="G10" t="str">
        <f t="shared" si="3"/>
        <v>XTCHNB6L</v>
      </c>
    </row>
    <row r="11" spans="1:8" x14ac:dyDescent="0.25">
      <c r="A11" s="1" t="s">
        <v>29</v>
      </c>
      <c r="B11" t="str">
        <f t="shared" si="0"/>
        <v>XTNB7L</v>
      </c>
      <c r="C11" t="str">
        <f t="shared" si="2"/>
        <v>XTCHNB7L</v>
      </c>
      <c r="D11" t="str">
        <f t="shared" si="1"/>
        <v>NB7L</v>
      </c>
      <c r="E11" s="1" t="s">
        <v>85</v>
      </c>
      <c r="F11" t="s">
        <v>108</v>
      </c>
      <c r="G11" t="str">
        <f t="shared" si="3"/>
        <v>XTCHNB7L</v>
      </c>
    </row>
    <row r="12" spans="1:8" x14ac:dyDescent="0.25">
      <c r="A12" s="1" t="s">
        <v>92</v>
      </c>
      <c r="B12" t="str">
        <f t="shared" si="0"/>
        <v>XTNB8L</v>
      </c>
      <c r="C12" t="str">
        <f t="shared" si="2"/>
        <v>XTCHNB8L</v>
      </c>
      <c r="D12" t="str">
        <f t="shared" si="1"/>
        <v>NB8L</v>
      </c>
      <c r="E12" s="1" t="s">
        <v>85</v>
      </c>
      <c r="F12" t="s">
        <v>109</v>
      </c>
      <c r="G12" t="str">
        <f t="shared" si="3"/>
        <v>XTCHNB8L</v>
      </c>
    </row>
    <row r="13" spans="1:8" x14ac:dyDescent="0.25">
      <c r="A13" s="1" t="s">
        <v>28</v>
      </c>
      <c r="B13" t="str">
        <f t="shared" si="0"/>
        <v>XTNB9L</v>
      </c>
      <c r="C13" t="str">
        <f t="shared" si="2"/>
        <v>XTCHNB9L</v>
      </c>
      <c r="D13" t="str">
        <f t="shared" si="1"/>
        <v>NB9L</v>
      </c>
      <c r="E13" s="1" t="s">
        <v>85</v>
      </c>
      <c r="F13" t="s">
        <v>110</v>
      </c>
      <c r="G13" t="str">
        <f t="shared" si="3"/>
        <v>XTCHNB9L</v>
      </c>
    </row>
    <row r="14" spans="1:8" x14ac:dyDescent="0.25">
      <c r="A14" s="1" t="s">
        <v>25</v>
      </c>
      <c r="B14" t="str">
        <f t="shared" si="0"/>
        <v>XTNP45</v>
      </c>
      <c r="C14" t="str">
        <f t="shared" si="2"/>
        <v>XTCHNP45</v>
      </c>
      <c r="D14" t="str">
        <f t="shared" si="1"/>
        <v>NP45</v>
      </c>
      <c r="E14" s="1" t="s">
        <v>85</v>
      </c>
      <c r="F14" t="s">
        <v>111</v>
      </c>
      <c r="G14" t="str">
        <f t="shared" si="3"/>
        <v>XTCHNP45</v>
      </c>
    </row>
    <row r="15" spans="1:8" x14ac:dyDescent="0.25">
      <c r="A15" s="3" t="s">
        <v>88</v>
      </c>
      <c r="B15" t="str">
        <f t="shared" si="0"/>
        <v>XTNP48</v>
      </c>
      <c r="C15" t="str">
        <f t="shared" si="2"/>
        <v>XTCHNP48</v>
      </c>
      <c r="D15" t="str">
        <f t="shared" si="1"/>
        <v>NP48</v>
      </c>
      <c r="E15" s="1" t="s">
        <v>85</v>
      </c>
      <c r="F15" t="s">
        <v>112</v>
      </c>
      <c r="G15" t="str">
        <f t="shared" si="3"/>
        <v>XTCHNP48</v>
      </c>
    </row>
    <row r="16" spans="1:8" x14ac:dyDescent="0.25">
      <c r="A16" s="1" t="s">
        <v>24</v>
      </c>
      <c r="B16" t="str">
        <f t="shared" si="0"/>
        <v>XTNP50</v>
      </c>
      <c r="C16" t="str">
        <f t="shared" si="2"/>
        <v>XTCHNP50</v>
      </c>
      <c r="D16" t="str">
        <f t="shared" si="1"/>
        <v>NP50</v>
      </c>
      <c r="E16" s="1" t="s">
        <v>85</v>
      </c>
      <c r="F16" t="s">
        <v>113</v>
      </c>
      <c r="G16" t="str">
        <f t="shared" si="3"/>
        <v>XTCHNP50</v>
      </c>
    </row>
    <row r="17" spans="1:7" x14ac:dyDescent="0.25">
      <c r="A17" s="1" t="s">
        <v>23</v>
      </c>
      <c r="B17" t="str">
        <f t="shared" si="0"/>
        <v>XTNP85</v>
      </c>
      <c r="C17" t="str">
        <f t="shared" si="2"/>
        <v>XTCHNP85</v>
      </c>
      <c r="D17" t="str">
        <f t="shared" si="1"/>
        <v>NP85</v>
      </c>
      <c r="E17" s="1" t="s">
        <v>85</v>
      </c>
      <c r="F17" t="s">
        <v>114</v>
      </c>
      <c r="G17" t="str">
        <f t="shared" si="3"/>
        <v>XTCHNP85</v>
      </c>
    </row>
    <row r="18" spans="1:7" x14ac:dyDescent="0.25">
      <c r="A18" s="1" t="s">
        <v>22</v>
      </c>
      <c r="B18" t="str">
        <f t="shared" si="0"/>
        <v>XTNP95</v>
      </c>
      <c r="C18" t="str">
        <f t="shared" si="2"/>
        <v>XTCHNP95</v>
      </c>
      <c r="D18" t="str">
        <f t="shared" si="1"/>
        <v>NP95</v>
      </c>
      <c r="E18" s="1" t="s">
        <v>85</v>
      </c>
      <c r="F18" t="s">
        <v>115</v>
      </c>
      <c r="G18" t="str">
        <f t="shared" si="3"/>
        <v>XTCHNP95</v>
      </c>
    </row>
    <row r="19" spans="1:7" x14ac:dyDescent="0.25">
      <c r="A19" s="1" t="s">
        <v>2</v>
      </c>
      <c r="B19" t="str">
        <f t="shared" si="0"/>
        <v>XTNPBG1</v>
      </c>
      <c r="C19" t="str">
        <f t="shared" si="2"/>
        <v>XTCHNPBG1</v>
      </c>
      <c r="D19" t="str">
        <f t="shared" si="1"/>
        <v>NPBG1</v>
      </c>
      <c r="E19" s="1" t="s">
        <v>85</v>
      </c>
      <c r="F19" t="s">
        <v>116</v>
      </c>
      <c r="G19" t="str">
        <f t="shared" si="3"/>
        <v>XTCHNPBG1</v>
      </c>
    </row>
    <row r="20" spans="1:7" x14ac:dyDescent="0.25">
      <c r="A20" s="1" t="s">
        <v>20</v>
      </c>
      <c r="B20" t="str">
        <f t="shared" si="0"/>
        <v>XTNPBN1</v>
      </c>
      <c r="C20" t="str">
        <f t="shared" si="2"/>
        <v>XTCHNPBN1</v>
      </c>
      <c r="D20" t="str">
        <f t="shared" si="1"/>
        <v>NPBN1</v>
      </c>
      <c r="E20" s="1" t="s">
        <v>85</v>
      </c>
      <c r="F20" t="s">
        <v>117</v>
      </c>
      <c r="G20" t="str">
        <f t="shared" si="3"/>
        <v>XTCHNPBN1</v>
      </c>
    </row>
    <row r="21" spans="1:7" x14ac:dyDescent="0.25">
      <c r="A21" s="1" t="s">
        <v>19</v>
      </c>
      <c r="B21" t="str">
        <f t="shared" si="0"/>
        <v>XTNPBX1</v>
      </c>
      <c r="C21" t="str">
        <f t="shared" si="2"/>
        <v>XTCHNPBX1</v>
      </c>
      <c r="D21" t="str">
        <f t="shared" si="1"/>
        <v>NPBX1</v>
      </c>
      <c r="E21" s="1" t="s">
        <v>85</v>
      </c>
      <c r="F21" t="s">
        <v>118</v>
      </c>
      <c r="G21" t="str">
        <f t="shared" si="3"/>
        <v>XTCHNPBX1</v>
      </c>
    </row>
    <row r="22" spans="1:7" x14ac:dyDescent="0.25">
      <c r="A22" s="1" t="s">
        <v>0</v>
      </c>
      <c r="B22" t="str">
        <f t="shared" si="0"/>
        <v>XTNPF975</v>
      </c>
      <c r="C22" t="str">
        <f t="shared" si="2"/>
        <v>XTCHNPF975</v>
      </c>
      <c r="D22" t="str">
        <f t="shared" si="1"/>
        <v>NPF975</v>
      </c>
      <c r="E22" s="1" t="s">
        <v>86</v>
      </c>
      <c r="F22" t="s">
        <v>119</v>
      </c>
      <c r="G22" t="str">
        <f t="shared" si="3"/>
        <v>XTCHNPF975</v>
      </c>
    </row>
    <row r="23" spans="1:7" x14ac:dyDescent="0.25">
      <c r="A23" s="1" t="s">
        <v>21</v>
      </c>
      <c r="B23" t="str">
        <f t="shared" si="0"/>
        <v>XTNPFH50</v>
      </c>
      <c r="C23" t="str">
        <f t="shared" si="2"/>
        <v>XTCHNPFH50</v>
      </c>
      <c r="D23" t="str">
        <f t="shared" si="1"/>
        <v>NPFH50</v>
      </c>
      <c r="E23" s="1" t="s">
        <v>85</v>
      </c>
      <c r="F23" t="s">
        <v>120</v>
      </c>
      <c r="G23" t="str">
        <f t="shared" si="3"/>
        <v>XTCHNPFH50</v>
      </c>
    </row>
    <row r="24" spans="1:7" x14ac:dyDescent="0.25">
      <c r="A24" s="1" t="s">
        <v>1</v>
      </c>
      <c r="B24" t="str">
        <f t="shared" si="0"/>
        <v>XTNPFM500H</v>
      </c>
      <c r="C24" t="str">
        <f t="shared" si="2"/>
        <v>XTCHNPFM500H</v>
      </c>
      <c r="D24" t="str">
        <f t="shared" si="1"/>
        <v>NPFM500H</v>
      </c>
      <c r="E24" s="1" t="s">
        <v>85</v>
      </c>
      <c r="F24" t="s">
        <v>121</v>
      </c>
      <c r="G24" t="str">
        <f t="shared" si="3"/>
        <v>XTCHNPFM500H</v>
      </c>
    </row>
    <row r="25" spans="1:7" x14ac:dyDescent="0.25">
      <c r="A25" s="1" t="s">
        <v>15</v>
      </c>
      <c r="B25" t="str">
        <f t="shared" si="0"/>
        <v>XTNPFV100</v>
      </c>
      <c r="C25" t="str">
        <f t="shared" si="2"/>
        <v>XTCHNPFV100</v>
      </c>
      <c r="D25" t="str">
        <f t="shared" si="1"/>
        <v>NPFV100</v>
      </c>
      <c r="E25" s="1" t="s">
        <v>86</v>
      </c>
      <c r="F25" t="s">
        <v>122</v>
      </c>
      <c r="G25" t="str">
        <f t="shared" si="3"/>
        <v>XTCHNPFV100</v>
      </c>
    </row>
    <row r="26" spans="1:7" x14ac:dyDescent="0.25">
      <c r="A26" s="1" t="s">
        <v>3</v>
      </c>
      <c r="B26" t="str">
        <f t="shared" si="0"/>
        <v>XTNPFV50</v>
      </c>
      <c r="C26" t="str">
        <f t="shared" si="2"/>
        <v>XTCHNPFV50</v>
      </c>
      <c r="D26" t="str">
        <f t="shared" si="1"/>
        <v>NPFV50</v>
      </c>
      <c r="E26" s="1" t="s">
        <v>85</v>
      </c>
      <c r="F26" t="s">
        <v>123</v>
      </c>
      <c r="G26" t="str">
        <f t="shared" si="3"/>
        <v>XTCHNPFV50</v>
      </c>
    </row>
    <row r="27" spans="1:7" x14ac:dyDescent="0.25">
      <c r="A27" s="1" t="s">
        <v>17</v>
      </c>
      <c r="B27" t="str">
        <f t="shared" si="0"/>
        <v>XTNPFV70</v>
      </c>
      <c r="C27" t="str">
        <f t="shared" si="2"/>
        <v>XTCHNPFV70</v>
      </c>
      <c r="D27" t="str">
        <f t="shared" si="1"/>
        <v>NPFV70</v>
      </c>
      <c r="E27" s="1" t="s">
        <v>86</v>
      </c>
      <c r="F27" t="s">
        <v>124</v>
      </c>
      <c r="G27" t="str">
        <f t="shared" si="3"/>
        <v>XTCHNPFV70</v>
      </c>
    </row>
    <row r="28" spans="1:7" x14ac:dyDescent="0.25">
      <c r="A28" s="1" t="s">
        <v>16</v>
      </c>
      <c r="B28" t="str">
        <f t="shared" si="0"/>
        <v>XTNPFW50</v>
      </c>
      <c r="C28" t="str">
        <f t="shared" si="2"/>
        <v>XTCHNPFW50</v>
      </c>
      <c r="D28" t="str">
        <f t="shared" si="1"/>
        <v>NPFW50</v>
      </c>
      <c r="E28" s="1" t="s">
        <v>85</v>
      </c>
      <c r="F28" t="s">
        <v>125</v>
      </c>
      <c r="G28" t="str">
        <f t="shared" si="3"/>
        <v>XTCHNPFW50</v>
      </c>
    </row>
    <row r="29" spans="1:7" x14ac:dyDescent="0.25">
      <c r="A29" s="1" t="s">
        <v>14</v>
      </c>
      <c r="B29" t="str">
        <f t="shared" si="0"/>
        <v>XTNPW126</v>
      </c>
      <c r="C29" t="str">
        <f t="shared" si="2"/>
        <v>XTCHNPW126</v>
      </c>
      <c r="D29" t="str">
        <f t="shared" si="1"/>
        <v>NPW126</v>
      </c>
      <c r="E29" s="1" t="s">
        <v>85</v>
      </c>
      <c r="F29" t="s">
        <v>126</v>
      </c>
      <c r="G29" t="str">
        <f t="shared" si="3"/>
        <v>XTCHNPW126</v>
      </c>
    </row>
    <row r="30" spans="1:7" x14ac:dyDescent="0.25">
      <c r="A30" s="1" t="s">
        <v>33</v>
      </c>
      <c r="B30" t="str">
        <f t="shared" si="0"/>
        <v>XTSLB10A</v>
      </c>
      <c r="C30" t="str">
        <f t="shared" si="2"/>
        <v>XTCHSLB10A</v>
      </c>
      <c r="D30" t="str">
        <f t="shared" si="1"/>
        <v>SLB10A</v>
      </c>
      <c r="E30" s="1" t="s">
        <v>85</v>
      </c>
      <c r="F30" t="s">
        <v>127</v>
      </c>
      <c r="G30" t="str">
        <f t="shared" si="3"/>
        <v>XTCHSLB10A</v>
      </c>
    </row>
    <row r="31" spans="1:7" x14ac:dyDescent="0.25">
      <c r="A31" s="1" t="s">
        <v>13</v>
      </c>
      <c r="B31" t="str">
        <f t="shared" si="0"/>
        <v>XTVBG260</v>
      </c>
      <c r="C31" t="str">
        <f t="shared" si="2"/>
        <v>XTCHVBG260</v>
      </c>
      <c r="D31" t="str">
        <f t="shared" si="1"/>
        <v>VBG260</v>
      </c>
      <c r="E31" s="1" t="s">
        <v>87</v>
      </c>
      <c r="F31" t="s">
        <v>128</v>
      </c>
      <c r="G31" t="str">
        <f t="shared" si="3"/>
        <v>XTCHVBG260</v>
      </c>
    </row>
    <row r="32" spans="1:7" x14ac:dyDescent="0.25">
      <c r="A32" s="1" t="s">
        <v>12</v>
      </c>
      <c r="B32" t="str">
        <f t="shared" si="0"/>
        <v>XTVBG6</v>
      </c>
      <c r="C32" t="str">
        <f t="shared" si="2"/>
        <v>XTCHVBG6</v>
      </c>
      <c r="D32" t="str">
        <f t="shared" si="1"/>
        <v>VBG6</v>
      </c>
      <c r="E32" s="1" t="s">
        <v>87</v>
      </c>
      <c r="F32" t="s">
        <v>129</v>
      </c>
      <c r="G32" t="str">
        <f t="shared" si="3"/>
        <v>XTCHVBG6</v>
      </c>
    </row>
    <row r="33" spans="1:7" x14ac:dyDescent="0.25">
      <c r="A33" s="1" t="s">
        <v>10</v>
      </c>
      <c r="B33" t="str">
        <f t="shared" si="0"/>
        <v>XTVBK180</v>
      </c>
      <c r="C33" t="str">
        <f t="shared" si="2"/>
        <v>XTCHVBK180</v>
      </c>
      <c r="D33" t="str">
        <f t="shared" si="1"/>
        <v>VBK180</v>
      </c>
      <c r="E33" s="1"/>
      <c r="F33" t="s">
        <v>130</v>
      </c>
      <c r="G33" t="str">
        <f t="shared" si="3"/>
        <v>XTCHVBK180</v>
      </c>
    </row>
    <row r="34" spans="1:7" x14ac:dyDescent="0.25">
      <c r="A34" s="1" t="s">
        <v>11</v>
      </c>
      <c r="B34" t="str">
        <f t="shared" si="0"/>
        <v>XTVBK360</v>
      </c>
      <c r="C34" t="str">
        <f t="shared" si="2"/>
        <v>XTCHVBK360</v>
      </c>
      <c r="D34" t="str">
        <f t="shared" si="1"/>
        <v>VBK360</v>
      </c>
      <c r="E34" s="1" t="s">
        <v>87</v>
      </c>
      <c r="F34" t="s">
        <v>131</v>
      </c>
      <c r="G34" t="str">
        <f t="shared" si="3"/>
        <v>XTCHVBK360</v>
      </c>
    </row>
    <row r="35" spans="1:7" x14ac:dyDescent="0.25">
      <c r="A35" s="1" t="s">
        <v>9</v>
      </c>
      <c r="B35" t="str">
        <f t="shared" si="0"/>
        <v>XTVBN130</v>
      </c>
      <c r="C35" t="str">
        <f t="shared" si="2"/>
        <v>XTCHVBN130</v>
      </c>
      <c r="D35" t="str">
        <f t="shared" si="1"/>
        <v>VBN130</v>
      </c>
      <c r="E35" s="1" t="s">
        <v>85</v>
      </c>
      <c r="F35" t="s">
        <v>132</v>
      </c>
      <c r="G35" t="str">
        <f t="shared" si="3"/>
        <v>XTCHVBN130</v>
      </c>
    </row>
    <row r="36" spans="1:7" x14ac:dyDescent="0.25">
      <c r="A36" s="1" t="s">
        <v>8</v>
      </c>
      <c r="B36" t="str">
        <f t="shared" si="0"/>
        <v>XTVBN260</v>
      </c>
      <c r="C36" t="str">
        <f t="shared" si="2"/>
        <v>XTCHVBN260</v>
      </c>
      <c r="D36" t="str">
        <f t="shared" si="1"/>
        <v>VBN260</v>
      </c>
      <c r="E36" s="1" t="s">
        <v>86</v>
      </c>
      <c r="F36" t="s">
        <v>133</v>
      </c>
      <c r="G36" t="str">
        <f t="shared" si="3"/>
        <v>XTCHVBN260</v>
      </c>
    </row>
    <row r="37" spans="1:7" x14ac:dyDescent="0.25">
      <c r="A37" s="1" t="s">
        <v>7</v>
      </c>
      <c r="B37" t="str">
        <f t="shared" si="0"/>
        <v>XTVF815</v>
      </c>
      <c r="C37" t="str">
        <f t="shared" si="2"/>
        <v>XTCHVF815</v>
      </c>
      <c r="D37" t="str">
        <f t="shared" si="1"/>
        <v>VF815</v>
      </c>
      <c r="E37" s="1" t="s">
        <v>86</v>
      </c>
      <c r="F37" t="s">
        <v>134</v>
      </c>
      <c r="G37" t="str">
        <f t="shared" si="3"/>
        <v>XTCHVF815</v>
      </c>
    </row>
    <row r="38" spans="1:7" x14ac:dyDescent="0.25">
      <c r="A38" s="1" t="s">
        <v>6</v>
      </c>
      <c r="B38" t="str">
        <f t="shared" si="0"/>
        <v>XTVF823</v>
      </c>
      <c r="C38" t="str">
        <f t="shared" si="2"/>
        <v>XTCHVF823</v>
      </c>
      <c r="D38" t="str">
        <f t="shared" si="1"/>
        <v>VF823</v>
      </c>
      <c r="E38" s="1" t="s">
        <v>86</v>
      </c>
      <c r="F38" t="s">
        <v>135</v>
      </c>
      <c r="G38" t="str">
        <f t="shared" si="3"/>
        <v>XTCHVF823</v>
      </c>
    </row>
    <row r="39" spans="1:7" x14ac:dyDescent="0.25">
      <c r="A39" s="1" t="s">
        <v>5</v>
      </c>
      <c r="B39" t="str">
        <f t="shared" si="0"/>
        <v>XTVG121</v>
      </c>
      <c r="C39" t="str">
        <f t="shared" si="2"/>
        <v>XTCHVG121</v>
      </c>
      <c r="D39" t="str">
        <f t="shared" si="1"/>
        <v>VG121</v>
      </c>
      <c r="E39" s="1" t="s">
        <v>85</v>
      </c>
      <c r="F39" t="s">
        <v>136</v>
      </c>
      <c r="G39" t="str">
        <f t="shared" si="3"/>
        <v>XTCHVG121</v>
      </c>
    </row>
    <row r="40" spans="1:7" x14ac:dyDescent="0.25">
      <c r="A40" s="1" t="s">
        <v>4</v>
      </c>
      <c r="B40" t="str">
        <f t="shared" si="0"/>
        <v>XTVG138</v>
      </c>
      <c r="C40" t="str">
        <f t="shared" si="2"/>
        <v>XTCHVG138</v>
      </c>
      <c r="D40" t="str">
        <f t="shared" si="1"/>
        <v>VG138</v>
      </c>
      <c r="E40" s="1" t="s">
        <v>86</v>
      </c>
      <c r="F40" t="s">
        <v>137</v>
      </c>
      <c r="G40" t="str">
        <f t="shared" si="3"/>
        <v>XTCHVG138</v>
      </c>
    </row>
    <row r="41" spans="1:7" x14ac:dyDescent="0.25">
      <c r="A41" s="1" t="s">
        <v>35</v>
      </c>
      <c r="D41" t="str">
        <f t="shared" ref="D41:D72" si="4">RIGHT(A41, LEN(A41)-2)</f>
        <v>BCG10</v>
      </c>
      <c r="E41" s="1" t="s">
        <v>85</v>
      </c>
      <c r="F41" t="s">
        <v>99</v>
      </c>
      <c r="G41">
        <f t="shared" si="3"/>
        <v>0</v>
      </c>
    </row>
    <row r="42" spans="1:7" x14ac:dyDescent="0.25">
      <c r="A42" s="2" t="s">
        <v>36</v>
      </c>
      <c r="D42" t="str">
        <f t="shared" si="4"/>
        <v>BCH7</v>
      </c>
      <c r="E42" s="1" t="s">
        <v>85</v>
      </c>
      <c r="F42" t="s">
        <v>100</v>
      </c>
      <c r="G42">
        <f t="shared" si="3"/>
        <v>0</v>
      </c>
    </row>
    <row r="43" spans="1:7" x14ac:dyDescent="0.25">
      <c r="A43" s="2" t="s">
        <v>37</v>
      </c>
      <c r="D43" t="str">
        <f t="shared" si="4"/>
        <v>BCJ13</v>
      </c>
      <c r="E43" s="1" t="s">
        <v>85</v>
      </c>
      <c r="F43" t="s">
        <v>101</v>
      </c>
      <c r="G43">
        <f t="shared" si="3"/>
        <v>0</v>
      </c>
    </row>
    <row r="44" spans="1:7" x14ac:dyDescent="0.25">
      <c r="A44" s="1" t="s">
        <v>38</v>
      </c>
      <c r="D44" t="str">
        <f t="shared" si="4"/>
        <v>BCK7</v>
      </c>
      <c r="E44" s="1" t="s">
        <v>85</v>
      </c>
      <c r="F44" t="s">
        <v>102</v>
      </c>
      <c r="G44">
        <f t="shared" si="3"/>
        <v>0</v>
      </c>
    </row>
    <row r="45" spans="1:7" x14ac:dyDescent="0.25">
      <c r="A45" s="1" t="s">
        <v>39</v>
      </c>
      <c r="D45" t="str">
        <f t="shared" si="4"/>
        <v>BCL7</v>
      </c>
      <c r="E45" s="1" t="s">
        <v>85</v>
      </c>
      <c r="F45" t="s">
        <v>103</v>
      </c>
      <c r="G45">
        <f t="shared" si="3"/>
        <v>0</v>
      </c>
    </row>
    <row r="46" spans="1:7" x14ac:dyDescent="0.25">
      <c r="A46" s="1" t="s">
        <v>40</v>
      </c>
      <c r="D46" t="str">
        <f t="shared" si="4"/>
        <v>BCM13</v>
      </c>
      <c r="E46" s="1" t="s">
        <v>85</v>
      </c>
      <c r="F46" t="s">
        <v>104</v>
      </c>
      <c r="G46">
        <f t="shared" si="3"/>
        <v>0</v>
      </c>
    </row>
    <row r="47" spans="1:7" x14ac:dyDescent="0.25">
      <c r="A47" s="1" t="s">
        <v>94</v>
      </c>
      <c r="D47" t="str">
        <f t="shared" si="4"/>
        <v>BCN10</v>
      </c>
      <c r="E47" s="1" t="s">
        <v>85</v>
      </c>
      <c r="F47" t="s">
        <v>105</v>
      </c>
      <c r="G47">
        <f t="shared" si="3"/>
        <v>0</v>
      </c>
    </row>
    <row r="48" spans="1:7" x14ac:dyDescent="0.25">
      <c r="A48" s="1" t="s">
        <v>41</v>
      </c>
      <c r="D48" t="str">
        <f t="shared" si="4"/>
        <v>BLC12</v>
      </c>
      <c r="E48" s="1" t="s">
        <v>85</v>
      </c>
      <c r="F48" t="s">
        <v>106</v>
      </c>
      <c r="G48">
        <f t="shared" si="3"/>
        <v>0</v>
      </c>
    </row>
    <row r="49" spans="1:7" x14ac:dyDescent="0.25">
      <c r="A49" s="1" t="s">
        <v>42</v>
      </c>
      <c r="D49" t="str">
        <f t="shared" si="4"/>
        <v>BLD10</v>
      </c>
      <c r="E49" s="1" t="s">
        <v>85</v>
      </c>
      <c r="F49" t="s">
        <v>107</v>
      </c>
      <c r="G49">
        <f t="shared" si="3"/>
        <v>0</v>
      </c>
    </row>
    <row r="50" spans="1:7" x14ac:dyDescent="0.25">
      <c r="A50" s="1" t="s">
        <v>43</v>
      </c>
      <c r="D50" t="str">
        <f t="shared" si="4"/>
        <v>BLE9</v>
      </c>
      <c r="E50" s="1" t="s">
        <v>85</v>
      </c>
      <c r="F50" t="s">
        <v>108</v>
      </c>
      <c r="G50">
        <f t="shared" si="3"/>
        <v>0</v>
      </c>
    </row>
    <row r="51" spans="1:7" x14ac:dyDescent="0.25">
      <c r="A51" s="1" t="s">
        <v>44</v>
      </c>
      <c r="D51" t="str">
        <f t="shared" si="4"/>
        <v>BLF19</v>
      </c>
      <c r="E51" s="1" t="s">
        <v>85</v>
      </c>
      <c r="F51" t="s">
        <v>109</v>
      </c>
      <c r="G51">
        <f t="shared" si="3"/>
        <v>0</v>
      </c>
    </row>
    <row r="52" spans="1:7" x14ac:dyDescent="0.25">
      <c r="A52" s="1" t="s">
        <v>45</v>
      </c>
      <c r="D52" t="str">
        <f t="shared" si="4"/>
        <v>BLG10</v>
      </c>
      <c r="E52" s="1" t="s">
        <v>85</v>
      </c>
      <c r="F52" t="s">
        <v>110</v>
      </c>
      <c r="G52">
        <f t="shared" si="3"/>
        <v>0</v>
      </c>
    </row>
    <row r="53" spans="1:7" x14ac:dyDescent="0.25">
      <c r="A53" s="1" t="s">
        <v>46</v>
      </c>
      <c r="D53" t="str">
        <f t="shared" si="4"/>
        <v>BLM5</v>
      </c>
      <c r="E53" s="1" t="s">
        <v>85</v>
      </c>
      <c r="F53" t="s">
        <v>111</v>
      </c>
      <c r="G53">
        <f t="shared" si="3"/>
        <v>0</v>
      </c>
    </row>
    <row r="54" spans="1:7" x14ac:dyDescent="0.25">
      <c r="A54" s="1" t="s">
        <v>47</v>
      </c>
      <c r="D54" t="str">
        <f t="shared" si="4"/>
        <v>BLS1</v>
      </c>
      <c r="E54" s="1" t="s">
        <v>85</v>
      </c>
      <c r="F54" t="s">
        <v>112</v>
      </c>
      <c r="G54">
        <f t="shared" si="3"/>
        <v>0</v>
      </c>
    </row>
    <row r="55" spans="1:7" x14ac:dyDescent="0.25">
      <c r="A55" s="1" t="s">
        <v>48</v>
      </c>
      <c r="D55" t="str">
        <f t="shared" si="4"/>
        <v>BLS5</v>
      </c>
      <c r="E55" s="1" t="s">
        <v>85</v>
      </c>
      <c r="F55" t="s">
        <v>113</v>
      </c>
      <c r="G55">
        <f t="shared" si="3"/>
        <v>0</v>
      </c>
    </row>
    <row r="56" spans="1:7" x14ac:dyDescent="0.25">
      <c r="A56" s="1" t="s">
        <v>49</v>
      </c>
      <c r="D56" t="str">
        <f t="shared" si="4"/>
        <v>BMB9</v>
      </c>
      <c r="E56" s="1"/>
      <c r="F56" t="s">
        <v>114</v>
      </c>
      <c r="G56">
        <f t="shared" si="3"/>
        <v>0</v>
      </c>
    </row>
    <row r="57" spans="1:7" x14ac:dyDescent="0.25">
      <c r="A57" s="1" t="s">
        <v>61</v>
      </c>
      <c r="D57" t="str">
        <f t="shared" si="4"/>
        <v>BP1030</v>
      </c>
      <c r="E57" s="1" t="s">
        <v>85</v>
      </c>
      <c r="F57" t="s">
        <v>115</v>
      </c>
      <c r="G57">
        <f t="shared" si="3"/>
        <v>0</v>
      </c>
    </row>
    <row r="58" spans="1:7" x14ac:dyDescent="0.25">
      <c r="A58" s="1" t="s">
        <v>51</v>
      </c>
      <c r="D58" t="str">
        <f t="shared" si="4"/>
        <v>BP110</v>
      </c>
      <c r="E58" s="1" t="s">
        <v>85</v>
      </c>
      <c r="F58" t="s">
        <v>116</v>
      </c>
      <c r="G58">
        <f t="shared" si="3"/>
        <v>0</v>
      </c>
    </row>
    <row r="59" spans="1:7" x14ac:dyDescent="0.25">
      <c r="A59" s="1" t="s">
        <v>62</v>
      </c>
      <c r="D59" t="str">
        <f t="shared" si="4"/>
        <v>BP1310</v>
      </c>
      <c r="E59" s="1" t="s">
        <v>85</v>
      </c>
      <c r="F59" t="s">
        <v>117</v>
      </c>
      <c r="G59">
        <f t="shared" si="3"/>
        <v>0</v>
      </c>
    </row>
    <row r="60" spans="1:7" x14ac:dyDescent="0.25">
      <c r="A60" s="1" t="s">
        <v>52</v>
      </c>
      <c r="D60" t="str">
        <f t="shared" si="4"/>
        <v>BP511</v>
      </c>
      <c r="E60" s="1" t="s">
        <v>85</v>
      </c>
      <c r="F60" t="s">
        <v>118</v>
      </c>
      <c r="G60">
        <f t="shared" si="3"/>
        <v>0</v>
      </c>
    </row>
    <row r="61" spans="1:7" x14ac:dyDescent="0.25">
      <c r="A61" s="1" t="s">
        <v>50</v>
      </c>
      <c r="D61" t="str">
        <f t="shared" si="4"/>
        <v>BP70A</v>
      </c>
      <c r="E61" s="1" t="s">
        <v>85</v>
      </c>
      <c r="F61" t="s">
        <v>119</v>
      </c>
      <c r="G61">
        <f t="shared" si="3"/>
        <v>0</v>
      </c>
    </row>
    <row r="62" spans="1:7" x14ac:dyDescent="0.25">
      <c r="A62" s="1" t="s">
        <v>53</v>
      </c>
      <c r="D62" t="str">
        <f t="shared" si="4"/>
        <v>BP718</v>
      </c>
      <c r="E62" s="1" t="s">
        <v>85</v>
      </c>
      <c r="F62" t="s">
        <v>120</v>
      </c>
      <c r="G62">
        <f t="shared" si="3"/>
        <v>0</v>
      </c>
    </row>
    <row r="63" spans="1:7" x14ac:dyDescent="0.25">
      <c r="A63" s="1" t="s">
        <v>54</v>
      </c>
      <c r="D63" t="str">
        <f t="shared" si="4"/>
        <v>BP727FD</v>
      </c>
      <c r="E63" s="1" t="s">
        <v>86</v>
      </c>
      <c r="F63" t="s">
        <v>121</v>
      </c>
      <c r="G63">
        <f t="shared" si="3"/>
        <v>0</v>
      </c>
    </row>
    <row r="64" spans="1:7" x14ac:dyDescent="0.25">
      <c r="A64" s="1" t="s">
        <v>55</v>
      </c>
      <c r="D64" t="str">
        <f t="shared" si="4"/>
        <v>BP808</v>
      </c>
      <c r="E64" s="1" t="s">
        <v>85</v>
      </c>
      <c r="F64" t="s">
        <v>122</v>
      </c>
      <c r="G64">
        <f t="shared" si="3"/>
        <v>0</v>
      </c>
    </row>
    <row r="65" spans="1:7" x14ac:dyDescent="0.25">
      <c r="A65" s="1" t="s">
        <v>56</v>
      </c>
      <c r="D65" t="str">
        <f t="shared" si="4"/>
        <v>BP819</v>
      </c>
      <c r="E65" s="1" t="s">
        <v>86</v>
      </c>
      <c r="F65" t="s">
        <v>123</v>
      </c>
      <c r="G65">
        <f t="shared" si="3"/>
        <v>0</v>
      </c>
    </row>
    <row r="66" spans="1:7" x14ac:dyDescent="0.25">
      <c r="A66" s="1" t="s">
        <v>57</v>
      </c>
      <c r="D66" t="str">
        <f t="shared" si="4"/>
        <v>BP820</v>
      </c>
      <c r="E66" s="1" t="s">
        <v>86</v>
      </c>
      <c r="F66" t="s">
        <v>124</v>
      </c>
      <c r="G66">
        <f t="shared" si="3"/>
        <v>0</v>
      </c>
    </row>
    <row r="67" spans="1:7" x14ac:dyDescent="0.25">
      <c r="A67" s="1" t="s">
        <v>58</v>
      </c>
      <c r="D67" t="str">
        <f t="shared" si="4"/>
        <v>BP827</v>
      </c>
      <c r="E67" s="1" t="s">
        <v>86</v>
      </c>
      <c r="F67" t="s">
        <v>125</v>
      </c>
      <c r="G67">
        <f t="shared" ref="G67:G93" si="5">C67</f>
        <v>0</v>
      </c>
    </row>
    <row r="68" spans="1:7" x14ac:dyDescent="0.25">
      <c r="A68" s="1" t="s">
        <v>59</v>
      </c>
      <c r="D68" t="str">
        <f t="shared" si="4"/>
        <v>BP828</v>
      </c>
      <c r="E68" s="1" t="s">
        <v>86</v>
      </c>
      <c r="F68" t="s">
        <v>126</v>
      </c>
      <c r="G68">
        <f t="shared" si="5"/>
        <v>0</v>
      </c>
    </row>
    <row r="69" spans="1:7" x14ac:dyDescent="0.25">
      <c r="A69" s="1" t="s">
        <v>60</v>
      </c>
      <c r="D69" t="str">
        <f t="shared" si="4"/>
        <v>BP970G</v>
      </c>
      <c r="E69" s="1" t="s">
        <v>87</v>
      </c>
      <c r="F69" t="s">
        <v>127</v>
      </c>
      <c r="G69">
        <f t="shared" si="5"/>
        <v>0</v>
      </c>
    </row>
    <row r="70" spans="1:7" x14ac:dyDescent="0.25">
      <c r="A70" s="1" t="s">
        <v>63</v>
      </c>
      <c r="D70" t="str">
        <f t="shared" si="4"/>
        <v>CGRD54</v>
      </c>
      <c r="E70" s="1" t="s">
        <v>87</v>
      </c>
      <c r="F70" t="s">
        <v>128</v>
      </c>
      <c r="G70">
        <f t="shared" si="5"/>
        <v>0</v>
      </c>
    </row>
    <row r="71" spans="1:7" x14ac:dyDescent="0.25">
      <c r="A71" s="1" t="s">
        <v>67</v>
      </c>
      <c r="D71" t="str">
        <f t="shared" si="4"/>
        <v>ENEL12</v>
      </c>
      <c r="E71" s="1" t="s">
        <v>85</v>
      </c>
      <c r="F71" t="s">
        <v>129</v>
      </c>
      <c r="G71">
        <f t="shared" si="5"/>
        <v>0</v>
      </c>
    </row>
    <row r="72" spans="1:7" x14ac:dyDescent="0.25">
      <c r="A72" s="1" t="s">
        <v>68</v>
      </c>
      <c r="D72" t="str">
        <f t="shared" si="4"/>
        <v>ENEL14</v>
      </c>
      <c r="E72" s="1" t="s">
        <v>85</v>
      </c>
      <c r="F72" t="s">
        <v>130</v>
      </c>
      <c r="G72">
        <f t="shared" si="5"/>
        <v>0</v>
      </c>
    </row>
    <row r="73" spans="1:7" x14ac:dyDescent="0.25">
      <c r="A73" s="1" t="s">
        <v>69</v>
      </c>
      <c r="D73" t="str">
        <f t="shared" ref="D73:D93" si="6">RIGHT(A73, LEN(A73)-2)</f>
        <v>ENEL15</v>
      </c>
      <c r="E73" s="1" t="s">
        <v>85</v>
      </c>
      <c r="F73" t="s">
        <v>131</v>
      </c>
      <c r="G73">
        <f t="shared" si="5"/>
        <v>0</v>
      </c>
    </row>
    <row r="74" spans="1:7" x14ac:dyDescent="0.25">
      <c r="A74" s="1" t="s">
        <v>70</v>
      </c>
      <c r="D74" t="str">
        <f t="shared" si="6"/>
        <v>ENEL19</v>
      </c>
      <c r="E74" s="1" t="s">
        <v>85</v>
      </c>
      <c r="F74" t="s">
        <v>132</v>
      </c>
      <c r="G74">
        <f t="shared" si="5"/>
        <v>0</v>
      </c>
    </row>
    <row r="75" spans="1:7" x14ac:dyDescent="0.25">
      <c r="A75" s="1" t="s">
        <v>71</v>
      </c>
      <c r="D75" t="str">
        <f t="shared" si="6"/>
        <v>ENEL20</v>
      </c>
      <c r="E75" s="1" t="s">
        <v>85</v>
      </c>
      <c r="F75" t="s">
        <v>133</v>
      </c>
      <c r="G75">
        <f t="shared" si="5"/>
        <v>0</v>
      </c>
    </row>
    <row r="76" spans="1:7" x14ac:dyDescent="0.25">
      <c r="A76" s="1" t="s">
        <v>72</v>
      </c>
      <c r="D76" t="str">
        <f t="shared" si="6"/>
        <v>ENEL21</v>
      </c>
      <c r="E76" s="1" t="s">
        <v>85</v>
      </c>
      <c r="F76" t="s">
        <v>134</v>
      </c>
      <c r="G76">
        <f t="shared" si="5"/>
        <v>0</v>
      </c>
    </row>
    <row r="77" spans="1:7" x14ac:dyDescent="0.25">
      <c r="A77" s="1" t="s">
        <v>95</v>
      </c>
      <c r="D77" t="str">
        <f t="shared" si="6"/>
        <v>ENEL22</v>
      </c>
      <c r="E77" s="1" t="s">
        <v>85</v>
      </c>
      <c r="F77" t="s">
        <v>135</v>
      </c>
      <c r="G77">
        <f t="shared" si="5"/>
        <v>0</v>
      </c>
    </row>
    <row r="78" spans="1:7" x14ac:dyDescent="0.25">
      <c r="A78" s="4" t="s">
        <v>64</v>
      </c>
      <c r="D78" t="str">
        <f t="shared" si="6"/>
        <v>ENEL3E</v>
      </c>
      <c r="E78" s="4" t="s">
        <v>85</v>
      </c>
      <c r="F78" t="s">
        <v>136</v>
      </c>
      <c r="G78">
        <f t="shared" si="5"/>
        <v>0</v>
      </c>
    </row>
    <row r="79" spans="1:7" x14ac:dyDescent="0.25">
      <c r="A79" s="1" t="s">
        <v>65</v>
      </c>
      <c r="D79" t="str">
        <f t="shared" si="6"/>
        <v>ENEL5</v>
      </c>
      <c r="E79" s="1" t="s">
        <v>85</v>
      </c>
      <c r="F79" t="s">
        <v>137</v>
      </c>
      <c r="G79">
        <f t="shared" si="5"/>
        <v>0</v>
      </c>
    </row>
    <row r="80" spans="1:7" x14ac:dyDescent="0.25">
      <c r="A80" s="1" t="s">
        <v>66</v>
      </c>
      <c r="D80" t="str">
        <f t="shared" si="6"/>
        <v>ENEL8</v>
      </c>
      <c r="E80" s="1" t="s">
        <v>85</v>
      </c>
      <c r="F80" t="s">
        <v>66</v>
      </c>
      <c r="G80">
        <f t="shared" si="5"/>
        <v>0</v>
      </c>
    </row>
    <row r="81" spans="1:7" x14ac:dyDescent="0.25">
      <c r="A81" s="1" t="s">
        <v>96</v>
      </c>
      <c r="D81" t="str">
        <f t="shared" si="6"/>
        <v>ENEL9</v>
      </c>
      <c r="E81" s="1" t="s">
        <v>85</v>
      </c>
      <c r="F81" t="s">
        <v>96</v>
      </c>
      <c r="G81">
        <f t="shared" si="5"/>
        <v>0</v>
      </c>
    </row>
    <row r="82" spans="1:7" x14ac:dyDescent="0.25">
      <c r="A82" s="3" t="s">
        <v>73</v>
      </c>
      <c r="D82" t="str">
        <f t="shared" si="6"/>
        <v>GPH3</v>
      </c>
      <c r="E82" s="1" t="s">
        <v>85</v>
      </c>
      <c r="F82" t="s">
        <v>73</v>
      </c>
      <c r="G82">
        <f t="shared" si="5"/>
        <v>0</v>
      </c>
    </row>
    <row r="83" spans="1:7" x14ac:dyDescent="0.25">
      <c r="A83" s="1" t="s">
        <v>79</v>
      </c>
      <c r="D83" t="str">
        <f t="shared" si="6"/>
        <v>LI109</v>
      </c>
      <c r="E83" s="1" t="s">
        <v>85</v>
      </c>
      <c r="F83" t="s">
        <v>79</v>
      </c>
      <c r="G83">
        <f t="shared" si="5"/>
        <v>0</v>
      </c>
    </row>
    <row r="84" spans="1:7" x14ac:dyDescent="0.25">
      <c r="A84" s="1" t="s">
        <v>74</v>
      </c>
      <c r="D84" t="str">
        <f t="shared" si="6"/>
        <v>LI42B</v>
      </c>
      <c r="E84" s="1" t="s">
        <v>85</v>
      </c>
      <c r="F84" t="s">
        <v>74</v>
      </c>
      <c r="G84">
        <f t="shared" si="5"/>
        <v>0</v>
      </c>
    </row>
    <row r="85" spans="1:7" x14ac:dyDescent="0.25">
      <c r="A85" s="1" t="s">
        <v>75</v>
      </c>
      <c r="D85" t="str">
        <f t="shared" si="6"/>
        <v>LI50B</v>
      </c>
      <c r="E85" s="1" t="s">
        <v>85</v>
      </c>
      <c r="F85" t="s">
        <v>75</v>
      </c>
      <c r="G85">
        <f t="shared" si="5"/>
        <v>0</v>
      </c>
    </row>
    <row r="86" spans="1:7" x14ac:dyDescent="0.25">
      <c r="A86" s="1" t="s">
        <v>76</v>
      </c>
      <c r="D86" t="str">
        <f t="shared" si="6"/>
        <v>LI70B</v>
      </c>
      <c r="E86" s="1" t="s">
        <v>85</v>
      </c>
      <c r="F86" t="s">
        <v>76</v>
      </c>
      <c r="G86">
        <f t="shared" si="5"/>
        <v>0</v>
      </c>
    </row>
    <row r="87" spans="1:7" x14ac:dyDescent="0.25">
      <c r="A87" s="1" t="s">
        <v>77</v>
      </c>
      <c r="D87" t="str">
        <f t="shared" si="6"/>
        <v>LI90</v>
      </c>
      <c r="E87" s="1" t="s">
        <v>85</v>
      </c>
      <c r="F87" t="s">
        <v>77</v>
      </c>
      <c r="G87">
        <f t="shared" si="5"/>
        <v>0</v>
      </c>
    </row>
    <row r="88" spans="1:7" x14ac:dyDescent="0.25">
      <c r="A88" s="1" t="s">
        <v>78</v>
      </c>
      <c r="D88" t="str">
        <f t="shared" si="6"/>
        <v>LI90B</v>
      </c>
      <c r="E88" s="1" t="s">
        <v>85</v>
      </c>
      <c r="F88" t="s">
        <v>78</v>
      </c>
      <c r="G88">
        <f t="shared" si="5"/>
        <v>0</v>
      </c>
    </row>
    <row r="89" spans="1:7" x14ac:dyDescent="0.25">
      <c r="A89" s="1" t="s">
        <v>82</v>
      </c>
      <c r="D89" t="str">
        <f t="shared" si="6"/>
        <v>LPE10</v>
      </c>
      <c r="E89" s="1" t="s">
        <v>85</v>
      </c>
      <c r="F89" t="s">
        <v>82</v>
      </c>
      <c r="G89">
        <f t="shared" si="5"/>
        <v>0</v>
      </c>
    </row>
    <row r="90" spans="1:7" x14ac:dyDescent="0.25">
      <c r="A90" s="1" t="s">
        <v>83</v>
      </c>
      <c r="D90" t="str">
        <f t="shared" si="6"/>
        <v>LPE12</v>
      </c>
      <c r="E90" s="1" t="s">
        <v>85</v>
      </c>
      <c r="F90" t="s">
        <v>83</v>
      </c>
      <c r="G90">
        <f t="shared" si="5"/>
        <v>0</v>
      </c>
    </row>
    <row r="91" spans="1:7" x14ac:dyDescent="0.25">
      <c r="A91" s="4" t="s">
        <v>93</v>
      </c>
      <c r="D91" t="str">
        <f t="shared" si="6"/>
        <v>LPE5</v>
      </c>
      <c r="E91" s="4" t="s">
        <v>85</v>
      </c>
      <c r="F91" t="s">
        <v>93</v>
      </c>
      <c r="G91">
        <f t="shared" si="5"/>
        <v>0</v>
      </c>
    </row>
    <row r="92" spans="1:7" x14ac:dyDescent="0.25">
      <c r="A92" s="1" t="s">
        <v>80</v>
      </c>
      <c r="D92" t="str">
        <f t="shared" si="6"/>
        <v>LPE6</v>
      </c>
      <c r="E92" s="1" t="s">
        <v>85</v>
      </c>
      <c r="F92" t="s">
        <v>80</v>
      </c>
      <c r="G92">
        <f t="shared" si="5"/>
        <v>0</v>
      </c>
    </row>
    <row r="93" spans="1:7" x14ac:dyDescent="0.25">
      <c r="A93" s="1" t="s">
        <v>81</v>
      </c>
      <c r="D93" t="str">
        <f t="shared" si="6"/>
        <v>LPE8</v>
      </c>
      <c r="E93" s="1" t="s">
        <v>85</v>
      </c>
      <c r="F93" t="s">
        <v>81</v>
      </c>
      <c r="G93">
        <f t="shared" si="5"/>
        <v>0</v>
      </c>
    </row>
    <row r="94" spans="1:7" x14ac:dyDescent="0.25">
      <c r="A94" s="1"/>
      <c r="E94" s="1"/>
    </row>
    <row r="95" spans="1:7" x14ac:dyDescent="0.25">
      <c r="A95" s="1"/>
      <c r="E95" s="1"/>
    </row>
    <row r="96" spans="1:7" x14ac:dyDescent="0.25">
      <c r="A96" s="1"/>
      <c r="E96" s="1"/>
    </row>
  </sheetData>
  <sortState ref="A2:B96">
    <sortCondition ref="A2:A96"/>
  </sortState>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3"/>
  <sheetViews>
    <sheetView zoomScaleNormal="100" workbookViewId="0">
      <pane ySplit="1" topLeftCell="A2" activePane="bottomLeft" state="frozen"/>
      <selection pane="bottomLeft" activeCell="C4" sqref="C4"/>
    </sheetView>
  </sheetViews>
  <sheetFormatPr defaultRowHeight="15" x14ac:dyDescent="0.25"/>
  <cols>
    <col min="1" max="1" width="19.85546875" style="9" customWidth="1"/>
    <col min="2" max="2" width="11.7109375" style="10" bestFit="1" customWidth="1"/>
    <col min="3" max="3" width="18.5703125" style="15" bestFit="1" customWidth="1"/>
    <col min="4" max="4" width="18.5703125" style="7" bestFit="1" customWidth="1"/>
    <col min="5" max="5" width="12.42578125" style="21" customWidth="1"/>
    <col min="6" max="6" width="9.85546875" style="24" customWidth="1"/>
    <col min="7" max="7" width="14" style="16" customWidth="1"/>
    <col min="8" max="8" width="33" style="18" customWidth="1"/>
    <col min="9" max="9" width="10.5703125" bestFit="1" customWidth="1"/>
  </cols>
  <sheetData>
    <row r="1" spans="1:8" s="14" customFormat="1" ht="21" x14ac:dyDescent="0.35">
      <c r="A1" s="11" t="s">
        <v>290</v>
      </c>
      <c r="B1" s="12" t="s">
        <v>162</v>
      </c>
      <c r="C1" s="17" t="s">
        <v>291</v>
      </c>
      <c r="D1" s="13" t="s">
        <v>289</v>
      </c>
      <c r="E1" s="20" t="s">
        <v>157</v>
      </c>
      <c r="F1" s="23" t="s">
        <v>161</v>
      </c>
      <c r="H1" s="19" t="s">
        <v>158</v>
      </c>
    </row>
    <row r="2" spans="1:8" x14ac:dyDescent="0.25">
      <c r="A2" s="8" t="s">
        <v>99</v>
      </c>
      <c r="B2" s="10" t="str">
        <f>RIGHT(A2, LEN(A2)-2)</f>
        <v>BCF10</v>
      </c>
      <c r="C2" s="15" t="str">
        <f>"XTCH"&amp;B2</f>
        <v>XTCHBCF10</v>
      </c>
      <c r="D2" s="7" t="s">
        <v>90</v>
      </c>
      <c r="E2" s="21" t="s">
        <v>159</v>
      </c>
      <c r="F2" s="24" t="s">
        <v>160</v>
      </c>
      <c r="H2" s="18" t="s">
        <v>141</v>
      </c>
    </row>
    <row r="3" spans="1:8" x14ac:dyDescent="0.25">
      <c r="A3" s="8" t="s">
        <v>100</v>
      </c>
      <c r="B3" s="10" t="str">
        <f t="shared" ref="B3:B66" si="0">RIGHT(A3, LEN(A3)-2)</f>
        <v>BP1130</v>
      </c>
      <c r="C3" s="15" t="str">
        <f>"XTCH"&amp;B3</f>
        <v>XTCHBP1130</v>
      </c>
      <c r="D3" s="7" t="s">
        <v>91</v>
      </c>
      <c r="E3" s="21" t="s">
        <v>163</v>
      </c>
      <c r="F3" s="24" t="s">
        <v>164</v>
      </c>
      <c r="H3" s="18" t="s">
        <v>141</v>
      </c>
    </row>
    <row r="4" spans="1:8" x14ac:dyDescent="0.25">
      <c r="A4" s="8" t="s">
        <v>101</v>
      </c>
      <c r="B4" s="10" t="str">
        <f t="shared" si="0"/>
        <v>ENEL23</v>
      </c>
      <c r="C4" s="15" t="str">
        <f t="shared" ref="C3:C66" si="1">"XTCH"&amp;B4</f>
        <v>XTCHENEL23</v>
      </c>
      <c r="D4" s="7" t="s">
        <v>89</v>
      </c>
      <c r="E4" s="21" t="s">
        <v>165</v>
      </c>
      <c r="H4" s="18" t="s">
        <v>141</v>
      </c>
    </row>
    <row r="5" spans="1:8" x14ac:dyDescent="0.25">
      <c r="A5" s="8" t="s">
        <v>102</v>
      </c>
      <c r="B5" s="10" t="str">
        <f t="shared" si="0"/>
        <v>NB10L</v>
      </c>
      <c r="C5" s="15" t="str">
        <f t="shared" si="1"/>
        <v>XTCHNB10L</v>
      </c>
      <c r="D5" s="7" t="s">
        <v>27</v>
      </c>
      <c r="E5" s="21" t="s">
        <v>166</v>
      </c>
      <c r="F5" s="24" t="s">
        <v>167</v>
      </c>
      <c r="H5" s="18" t="s">
        <v>141</v>
      </c>
    </row>
    <row r="6" spans="1:8" x14ac:dyDescent="0.25">
      <c r="A6" s="8" t="s">
        <v>103</v>
      </c>
      <c r="B6" s="10" t="str">
        <f t="shared" si="0"/>
        <v>NB11L</v>
      </c>
      <c r="C6" s="15" t="str">
        <f t="shared" si="1"/>
        <v>XTCHNB11L</v>
      </c>
      <c r="D6" s="7" t="s">
        <v>26</v>
      </c>
      <c r="E6" s="21" t="s">
        <v>168</v>
      </c>
      <c r="H6" s="18" t="s">
        <v>141</v>
      </c>
    </row>
    <row r="7" spans="1:8" x14ac:dyDescent="0.25">
      <c r="A7" s="8" t="s">
        <v>104</v>
      </c>
      <c r="B7" s="10" t="str">
        <f t="shared" si="0"/>
        <v>NB2LH</v>
      </c>
      <c r="C7" s="15" t="str">
        <f t="shared" si="1"/>
        <v>XTCHNB2LH</v>
      </c>
      <c r="D7" s="7" t="s">
        <v>18</v>
      </c>
      <c r="E7" s="21" t="s">
        <v>169</v>
      </c>
      <c r="H7" s="18" t="s">
        <v>141</v>
      </c>
    </row>
    <row r="8" spans="1:8" x14ac:dyDescent="0.25">
      <c r="A8" s="8" t="s">
        <v>105</v>
      </c>
      <c r="B8" s="10" t="str">
        <f t="shared" si="0"/>
        <v>NB4L</v>
      </c>
      <c r="C8" s="15" t="str">
        <f t="shared" si="1"/>
        <v>XTCHNB4L</v>
      </c>
      <c r="D8" s="7" t="s">
        <v>32</v>
      </c>
      <c r="E8" s="22" t="s">
        <v>170</v>
      </c>
      <c r="F8" s="24" t="s">
        <v>171</v>
      </c>
      <c r="H8" s="18" t="s">
        <v>141</v>
      </c>
    </row>
    <row r="9" spans="1:8" x14ac:dyDescent="0.25">
      <c r="A9" s="8" t="s">
        <v>106</v>
      </c>
      <c r="B9" s="10" t="str">
        <f t="shared" si="0"/>
        <v>NB5L</v>
      </c>
      <c r="C9" s="15" t="str">
        <f t="shared" si="1"/>
        <v>XTCHNB5L</v>
      </c>
      <c r="D9" s="7" t="s">
        <v>31</v>
      </c>
      <c r="E9" s="21" t="s">
        <v>172</v>
      </c>
      <c r="F9" s="24" t="s">
        <v>173</v>
      </c>
      <c r="H9" s="18" t="s">
        <v>141</v>
      </c>
    </row>
    <row r="10" spans="1:8" x14ac:dyDescent="0.25">
      <c r="A10" s="8" t="s">
        <v>107</v>
      </c>
      <c r="B10" s="10" t="str">
        <f t="shared" si="0"/>
        <v>NB6L</v>
      </c>
      <c r="C10" s="15" t="str">
        <f t="shared" si="1"/>
        <v>XTCHNB6L</v>
      </c>
      <c r="D10" s="7" t="s">
        <v>30</v>
      </c>
      <c r="E10" s="21" t="s">
        <v>174</v>
      </c>
      <c r="F10" s="24" t="s">
        <v>175</v>
      </c>
      <c r="H10" s="18" t="s">
        <v>141</v>
      </c>
    </row>
    <row r="11" spans="1:8" x14ac:dyDescent="0.25">
      <c r="A11" s="8" t="s">
        <v>108</v>
      </c>
      <c r="B11" s="10" t="str">
        <f t="shared" si="0"/>
        <v>NB7L</v>
      </c>
      <c r="C11" s="15" t="str">
        <f t="shared" si="1"/>
        <v>XTCHNB7L</v>
      </c>
      <c r="D11" s="7" t="s">
        <v>29</v>
      </c>
      <c r="E11" s="21" t="s">
        <v>176</v>
      </c>
      <c r="F11" s="24" t="s">
        <v>177</v>
      </c>
      <c r="H11" s="18" t="s">
        <v>141</v>
      </c>
    </row>
    <row r="12" spans="1:8" x14ac:dyDescent="0.25">
      <c r="A12" s="8" t="s">
        <v>109</v>
      </c>
      <c r="B12" s="10" t="str">
        <f t="shared" si="0"/>
        <v>NB8L</v>
      </c>
      <c r="C12" s="15" t="str">
        <f t="shared" si="1"/>
        <v>XTCHNB8L</v>
      </c>
      <c r="D12" s="7" t="s">
        <v>92</v>
      </c>
      <c r="E12" s="21" t="s">
        <v>178</v>
      </c>
      <c r="F12" s="24" t="s">
        <v>179</v>
      </c>
      <c r="H12" s="18" t="s">
        <v>141</v>
      </c>
    </row>
    <row r="13" spans="1:8" x14ac:dyDescent="0.25">
      <c r="A13" s="8" t="s">
        <v>110</v>
      </c>
      <c r="B13" s="10" t="str">
        <f t="shared" si="0"/>
        <v>NB9L</v>
      </c>
      <c r="C13" s="15" t="str">
        <f t="shared" si="1"/>
        <v>XTCHNB9L</v>
      </c>
      <c r="D13" s="7" t="s">
        <v>28</v>
      </c>
      <c r="E13" s="21" t="s">
        <v>180</v>
      </c>
      <c r="H13" s="18" t="s">
        <v>141</v>
      </c>
    </row>
    <row r="14" spans="1:8" x14ac:dyDescent="0.25">
      <c r="A14" s="9" t="s">
        <v>111</v>
      </c>
      <c r="B14" s="10" t="str">
        <f t="shared" si="0"/>
        <v>NP45</v>
      </c>
      <c r="C14" s="15" t="str">
        <f t="shared" si="1"/>
        <v>XTCHNP45</v>
      </c>
      <c r="D14" s="7" t="s">
        <v>25</v>
      </c>
      <c r="E14" s="21" t="s">
        <v>181</v>
      </c>
      <c r="H14" s="18" t="s">
        <v>141</v>
      </c>
    </row>
    <row r="15" spans="1:8" x14ac:dyDescent="0.25">
      <c r="A15" s="9" t="s">
        <v>112</v>
      </c>
      <c r="B15" s="10" t="str">
        <f t="shared" si="0"/>
        <v>NP48</v>
      </c>
      <c r="C15" s="15" t="str">
        <f t="shared" si="1"/>
        <v>XTCHNP48</v>
      </c>
      <c r="D15" s="7" t="s">
        <v>88</v>
      </c>
      <c r="E15" s="21" t="s">
        <v>182</v>
      </c>
      <c r="H15" s="18" t="s">
        <v>141</v>
      </c>
    </row>
    <row r="16" spans="1:8" x14ac:dyDescent="0.25">
      <c r="A16" s="9" t="s">
        <v>113</v>
      </c>
      <c r="B16" s="10" t="str">
        <f t="shared" si="0"/>
        <v>NP50</v>
      </c>
      <c r="C16" s="15" t="str">
        <f t="shared" si="1"/>
        <v>XTCHNP50</v>
      </c>
      <c r="D16" s="7" t="s">
        <v>24</v>
      </c>
      <c r="E16" s="21" t="s">
        <v>182</v>
      </c>
      <c r="H16" s="18" t="s">
        <v>141</v>
      </c>
    </row>
    <row r="17" spans="1:8" x14ac:dyDescent="0.25">
      <c r="A17" s="9" t="s">
        <v>114</v>
      </c>
      <c r="B17" s="10" t="str">
        <f t="shared" si="0"/>
        <v>NP85</v>
      </c>
      <c r="C17" s="15" t="str">
        <f t="shared" si="1"/>
        <v>XTCHNP85</v>
      </c>
      <c r="D17" s="7" t="s">
        <v>23</v>
      </c>
      <c r="E17" s="21" t="s">
        <v>183</v>
      </c>
      <c r="H17" s="18" t="s">
        <v>141</v>
      </c>
    </row>
    <row r="18" spans="1:8" x14ac:dyDescent="0.25">
      <c r="A18" s="9" t="s">
        <v>115</v>
      </c>
      <c r="B18" s="10" t="str">
        <f t="shared" si="0"/>
        <v>NP95</v>
      </c>
      <c r="C18" s="15" t="str">
        <f t="shared" si="1"/>
        <v>XTCHNP95</v>
      </c>
      <c r="D18" s="7" t="s">
        <v>22</v>
      </c>
      <c r="E18" s="21" t="s">
        <v>184</v>
      </c>
      <c r="F18" s="24" t="s">
        <v>185</v>
      </c>
      <c r="H18" s="18" t="s">
        <v>141</v>
      </c>
    </row>
    <row r="19" spans="1:8" x14ac:dyDescent="0.25">
      <c r="A19" s="9" t="s">
        <v>116</v>
      </c>
      <c r="B19" s="10" t="str">
        <f t="shared" si="0"/>
        <v>NPBG1</v>
      </c>
      <c r="C19" s="15" t="str">
        <f t="shared" si="1"/>
        <v>XTCHNPBG1</v>
      </c>
      <c r="D19" s="7" t="s">
        <v>2</v>
      </c>
      <c r="E19" s="21" t="s">
        <v>186</v>
      </c>
      <c r="F19" s="24" t="s">
        <v>187</v>
      </c>
      <c r="H19" s="18" t="s">
        <v>141</v>
      </c>
    </row>
    <row r="20" spans="1:8" x14ac:dyDescent="0.25">
      <c r="A20" s="9" t="s">
        <v>117</v>
      </c>
      <c r="B20" s="10" t="str">
        <f t="shared" si="0"/>
        <v>NPBN1</v>
      </c>
      <c r="C20" s="15" t="str">
        <f t="shared" si="1"/>
        <v>XTCHNPBN1</v>
      </c>
      <c r="D20" s="7" t="s">
        <v>20</v>
      </c>
      <c r="E20" s="21" t="s">
        <v>188</v>
      </c>
      <c r="F20" s="24" t="s">
        <v>189</v>
      </c>
      <c r="H20" s="18" t="s">
        <v>141</v>
      </c>
    </row>
    <row r="21" spans="1:8" x14ac:dyDescent="0.25">
      <c r="A21" s="9" t="s">
        <v>118</v>
      </c>
      <c r="B21" s="10" t="str">
        <f t="shared" si="0"/>
        <v>NPBX1</v>
      </c>
      <c r="C21" s="15" t="str">
        <f t="shared" si="1"/>
        <v>XTCHNPBX1</v>
      </c>
      <c r="D21" s="7" t="s">
        <v>19</v>
      </c>
      <c r="E21" s="21" t="s">
        <v>190</v>
      </c>
      <c r="F21" s="24" t="s">
        <v>191</v>
      </c>
      <c r="H21" s="18" t="s">
        <v>141</v>
      </c>
    </row>
    <row r="22" spans="1:8" x14ac:dyDescent="0.25">
      <c r="A22" s="9" t="s">
        <v>119</v>
      </c>
      <c r="B22" s="10" t="str">
        <f t="shared" si="0"/>
        <v>NPF975</v>
      </c>
      <c r="C22" s="15" t="str">
        <f t="shared" si="1"/>
        <v>XTCHNPF975</v>
      </c>
      <c r="D22" s="7" t="s">
        <v>0</v>
      </c>
      <c r="E22" s="21" t="s">
        <v>192</v>
      </c>
      <c r="H22" s="18" t="s">
        <v>141</v>
      </c>
    </row>
    <row r="23" spans="1:8" x14ac:dyDescent="0.25">
      <c r="A23" s="9" t="s">
        <v>120</v>
      </c>
      <c r="B23" s="10" t="str">
        <f t="shared" si="0"/>
        <v>NPFH50</v>
      </c>
      <c r="C23" s="15" t="str">
        <f t="shared" si="1"/>
        <v>XTCHNPFH50</v>
      </c>
      <c r="D23" s="7" t="s">
        <v>21</v>
      </c>
      <c r="E23" s="21" t="s">
        <v>192</v>
      </c>
      <c r="F23" s="24" t="s">
        <v>193</v>
      </c>
      <c r="H23" s="18" t="s">
        <v>141</v>
      </c>
    </row>
    <row r="24" spans="1:8" x14ac:dyDescent="0.25">
      <c r="A24" s="9" t="s">
        <v>121</v>
      </c>
      <c r="B24" s="10" t="str">
        <f t="shared" si="0"/>
        <v>NPFM500H</v>
      </c>
      <c r="C24" s="15" t="str">
        <f t="shared" si="1"/>
        <v>XTCHNPFM500H</v>
      </c>
      <c r="D24" s="7" t="s">
        <v>1</v>
      </c>
      <c r="E24" s="21" t="s">
        <v>194</v>
      </c>
      <c r="F24" s="24" t="s">
        <v>195</v>
      </c>
      <c r="H24" s="18" t="s">
        <v>141</v>
      </c>
    </row>
    <row r="25" spans="1:8" x14ac:dyDescent="0.25">
      <c r="A25" s="9" t="s">
        <v>122</v>
      </c>
      <c r="B25" s="10" t="str">
        <f t="shared" si="0"/>
        <v>NPFV100</v>
      </c>
      <c r="C25" s="15" t="str">
        <f t="shared" si="1"/>
        <v>XTCHNPFV100</v>
      </c>
      <c r="D25" s="7" t="s">
        <v>15</v>
      </c>
      <c r="E25" s="21" t="s">
        <v>196</v>
      </c>
      <c r="F25" s="24" t="s">
        <v>197</v>
      </c>
      <c r="H25" s="18" t="s">
        <v>141</v>
      </c>
    </row>
    <row r="26" spans="1:8" x14ac:dyDescent="0.25">
      <c r="A26" s="9" t="s">
        <v>123</v>
      </c>
      <c r="B26" s="10" t="str">
        <f t="shared" si="0"/>
        <v>NPFV50</v>
      </c>
      <c r="C26" s="15" t="str">
        <f t="shared" si="1"/>
        <v>XTCHNPFV50</v>
      </c>
      <c r="D26" s="7" t="s">
        <v>3</v>
      </c>
      <c r="E26" s="21" t="s">
        <v>198</v>
      </c>
      <c r="F26" s="24" t="s">
        <v>199</v>
      </c>
      <c r="H26" s="18" t="s">
        <v>141</v>
      </c>
    </row>
    <row r="27" spans="1:8" x14ac:dyDescent="0.25">
      <c r="A27" s="9" t="s">
        <v>124</v>
      </c>
      <c r="B27" s="10" t="str">
        <f t="shared" si="0"/>
        <v>NPFV70</v>
      </c>
      <c r="C27" s="15" t="str">
        <f t="shared" si="1"/>
        <v>XTCHNPFV70</v>
      </c>
      <c r="D27" s="7" t="s">
        <v>17</v>
      </c>
      <c r="E27" s="21" t="s">
        <v>196</v>
      </c>
      <c r="F27" s="24" t="s">
        <v>200</v>
      </c>
      <c r="H27" s="18" t="s">
        <v>141</v>
      </c>
    </row>
    <row r="28" spans="1:8" x14ac:dyDescent="0.25">
      <c r="A28" s="9" t="s">
        <v>125</v>
      </c>
      <c r="B28" s="10" t="str">
        <f t="shared" si="0"/>
        <v>NPFW50</v>
      </c>
      <c r="C28" s="15" t="str">
        <f t="shared" si="1"/>
        <v>XTCHNPFW50</v>
      </c>
      <c r="D28" s="7" t="s">
        <v>16</v>
      </c>
      <c r="E28" s="21" t="s">
        <v>201</v>
      </c>
      <c r="H28" s="18" t="s">
        <v>141</v>
      </c>
    </row>
    <row r="29" spans="1:8" x14ac:dyDescent="0.25">
      <c r="A29" s="9" t="s">
        <v>126</v>
      </c>
      <c r="B29" s="10" t="str">
        <f t="shared" si="0"/>
        <v>NPW126</v>
      </c>
      <c r="C29" s="15" t="str">
        <f t="shared" si="1"/>
        <v>XTCHNPW126</v>
      </c>
      <c r="D29" s="7" t="s">
        <v>14</v>
      </c>
      <c r="E29" s="21" t="s">
        <v>202</v>
      </c>
      <c r="F29" s="24" t="s">
        <v>203</v>
      </c>
      <c r="H29" s="18" t="s">
        <v>141</v>
      </c>
    </row>
    <row r="30" spans="1:8" x14ac:dyDescent="0.25">
      <c r="A30" s="9" t="s">
        <v>127</v>
      </c>
      <c r="B30" s="10" t="str">
        <f t="shared" si="0"/>
        <v>SLB10A</v>
      </c>
      <c r="C30" s="15" t="str">
        <f t="shared" si="1"/>
        <v>XTCHSLB10A</v>
      </c>
      <c r="D30" s="7" t="s">
        <v>33</v>
      </c>
      <c r="E30" s="21" t="s">
        <v>204</v>
      </c>
      <c r="F30" s="24" t="s">
        <v>205</v>
      </c>
      <c r="H30" s="18" t="s">
        <v>141</v>
      </c>
    </row>
    <row r="31" spans="1:8" x14ac:dyDescent="0.25">
      <c r="A31" s="9" t="s">
        <v>128</v>
      </c>
      <c r="B31" s="10" t="str">
        <f t="shared" si="0"/>
        <v>VBG260</v>
      </c>
      <c r="C31" s="15" t="str">
        <f t="shared" si="1"/>
        <v>XTCHVBG260</v>
      </c>
      <c r="D31" s="7" t="s">
        <v>13</v>
      </c>
      <c r="E31" s="21" t="s">
        <v>206</v>
      </c>
      <c r="F31" s="24" t="s">
        <v>207</v>
      </c>
      <c r="H31" s="18" t="s">
        <v>141</v>
      </c>
    </row>
    <row r="32" spans="1:8" x14ac:dyDescent="0.25">
      <c r="A32" s="9" t="s">
        <v>129</v>
      </c>
      <c r="B32" s="10" t="str">
        <f t="shared" si="0"/>
        <v>VBG6</v>
      </c>
      <c r="C32" s="15" t="str">
        <f t="shared" si="1"/>
        <v>XTCHVBG6</v>
      </c>
      <c r="D32" s="7" t="s">
        <v>12</v>
      </c>
      <c r="E32" s="21" t="s">
        <v>208</v>
      </c>
      <c r="F32" s="24" t="s">
        <v>209</v>
      </c>
      <c r="H32" s="18" t="s">
        <v>141</v>
      </c>
    </row>
    <row r="33" spans="1:8" x14ac:dyDescent="0.25">
      <c r="A33" s="9" t="s">
        <v>130</v>
      </c>
      <c r="B33" s="10" t="str">
        <f t="shared" si="0"/>
        <v>VBK180</v>
      </c>
      <c r="C33" s="15" t="str">
        <f t="shared" si="1"/>
        <v>XTCHVBK180</v>
      </c>
      <c r="D33" s="7" t="s">
        <v>10</v>
      </c>
      <c r="E33" s="21" t="s">
        <v>210</v>
      </c>
      <c r="F33" s="24" t="s">
        <v>211</v>
      </c>
      <c r="H33" s="18" t="s">
        <v>141</v>
      </c>
    </row>
    <row r="34" spans="1:8" x14ac:dyDescent="0.25">
      <c r="A34" s="9" t="s">
        <v>131</v>
      </c>
      <c r="B34" s="10" t="str">
        <f t="shared" si="0"/>
        <v>VBK360</v>
      </c>
      <c r="C34" s="15" t="str">
        <f t="shared" si="1"/>
        <v>XTCHVBK360</v>
      </c>
      <c r="D34" s="7" t="s">
        <v>11</v>
      </c>
      <c r="E34" s="21" t="s">
        <v>210</v>
      </c>
      <c r="F34" s="24" t="s">
        <v>211</v>
      </c>
      <c r="H34" s="18" t="s">
        <v>141</v>
      </c>
    </row>
    <row r="35" spans="1:8" x14ac:dyDescent="0.25">
      <c r="A35" s="9" t="s">
        <v>132</v>
      </c>
      <c r="B35" s="10" t="str">
        <f t="shared" si="0"/>
        <v>VBN130</v>
      </c>
      <c r="C35" s="15" t="str">
        <f t="shared" si="1"/>
        <v>XTCHVBN130</v>
      </c>
      <c r="D35" s="7" t="s">
        <v>9</v>
      </c>
      <c r="E35" s="21" t="s">
        <v>212</v>
      </c>
      <c r="F35" s="24" t="s">
        <v>213</v>
      </c>
      <c r="H35" s="18" t="s">
        <v>141</v>
      </c>
    </row>
    <row r="36" spans="1:8" x14ac:dyDescent="0.25">
      <c r="A36" s="9" t="s">
        <v>133</v>
      </c>
      <c r="B36" s="10" t="str">
        <f t="shared" si="0"/>
        <v>VBN260</v>
      </c>
      <c r="C36" s="15" t="str">
        <f t="shared" si="1"/>
        <v>XTCHVBN260</v>
      </c>
      <c r="D36" s="7" t="s">
        <v>8</v>
      </c>
      <c r="E36" s="21" t="s">
        <v>212</v>
      </c>
      <c r="F36" s="24" t="s">
        <v>214</v>
      </c>
      <c r="H36" s="18" t="s">
        <v>141</v>
      </c>
    </row>
    <row r="37" spans="1:8" x14ac:dyDescent="0.25">
      <c r="A37" s="9" t="s">
        <v>134</v>
      </c>
      <c r="B37" s="10" t="str">
        <f t="shared" si="0"/>
        <v>VF815</v>
      </c>
      <c r="C37" s="15" t="str">
        <f t="shared" si="1"/>
        <v>XTCHVF815</v>
      </c>
      <c r="D37" s="7" t="s">
        <v>7</v>
      </c>
      <c r="E37" s="21" t="s">
        <v>215</v>
      </c>
      <c r="F37" s="24" t="s">
        <v>216</v>
      </c>
      <c r="H37" s="18" t="s">
        <v>141</v>
      </c>
    </row>
    <row r="38" spans="1:8" x14ac:dyDescent="0.25">
      <c r="A38" s="9" t="s">
        <v>135</v>
      </c>
      <c r="B38" s="10" t="str">
        <f t="shared" si="0"/>
        <v>VF823</v>
      </c>
      <c r="C38" s="15" t="str">
        <f t="shared" si="1"/>
        <v>XTCHVF823</v>
      </c>
      <c r="D38" s="7" t="s">
        <v>6</v>
      </c>
      <c r="E38" s="21" t="s">
        <v>217</v>
      </c>
      <c r="F38" s="24" t="s">
        <v>218</v>
      </c>
      <c r="H38" s="18" t="s">
        <v>141</v>
      </c>
    </row>
    <row r="39" spans="1:8" x14ac:dyDescent="0.25">
      <c r="A39" s="9" t="s">
        <v>136</v>
      </c>
      <c r="B39" s="10" t="str">
        <f t="shared" si="0"/>
        <v>VG121</v>
      </c>
      <c r="C39" s="15" t="str">
        <f t="shared" si="1"/>
        <v>XTCHVG121</v>
      </c>
      <c r="D39" s="7" t="s">
        <v>5</v>
      </c>
      <c r="E39" s="21" t="s">
        <v>219</v>
      </c>
      <c r="F39" s="24" t="s">
        <v>220</v>
      </c>
      <c r="H39" s="18" t="s">
        <v>141</v>
      </c>
    </row>
    <row r="40" spans="1:8" x14ac:dyDescent="0.25">
      <c r="A40" s="9" t="s">
        <v>137</v>
      </c>
      <c r="B40" s="10" t="str">
        <f t="shared" si="0"/>
        <v>VG138</v>
      </c>
      <c r="C40" s="15" t="str">
        <f t="shared" si="1"/>
        <v>XTCHVG138</v>
      </c>
      <c r="D40" s="7" t="s">
        <v>4</v>
      </c>
      <c r="E40" s="21" t="s">
        <v>221</v>
      </c>
      <c r="F40" s="24" t="s">
        <v>222</v>
      </c>
      <c r="H40" s="18" t="s">
        <v>141</v>
      </c>
    </row>
    <row r="41" spans="1:8" x14ac:dyDescent="0.25">
      <c r="A41" s="9" t="s">
        <v>99</v>
      </c>
      <c r="B41" s="10" t="str">
        <f t="shared" si="0"/>
        <v>BCF10</v>
      </c>
      <c r="C41" s="15" t="str">
        <f t="shared" si="1"/>
        <v>XTCHBCF10</v>
      </c>
      <c r="D41" s="7" t="s">
        <v>90</v>
      </c>
      <c r="E41" s="21" t="s">
        <v>223</v>
      </c>
      <c r="F41" s="24" t="s">
        <v>224</v>
      </c>
      <c r="H41" s="18" t="s">
        <v>141</v>
      </c>
    </row>
    <row r="42" spans="1:8" x14ac:dyDescent="0.25">
      <c r="A42" s="9" t="s">
        <v>100</v>
      </c>
      <c r="B42" s="10" t="str">
        <f t="shared" si="0"/>
        <v>BP1130</v>
      </c>
      <c r="C42" s="15" t="str">
        <f t="shared" si="1"/>
        <v>XTCHBP1130</v>
      </c>
      <c r="D42" s="7" t="s">
        <v>91</v>
      </c>
      <c r="E42" s="21" t="s">
        <v>225</v>
      </c>
      <c r="F42" s="24" t="s">
        <v>226</v>
      </c>
      <c r="H42" s="18" t="s">
        <v>141</v>
      </c>
    </row>
    <row r="43" spans="1:8" x14ac:dyDescent="0.25">
      <c r="A43" s="9" t="s">
        <v>101</v>
      </c>
      <c r="B43" s="10" t="str">
        <f t="shared" si="0"/>
        <v>ENEL23</v>
      </c>
      <c r="C43" s="15" t="str">
        <f t="shared" si="1"/>
        <v>XTCHENEL23</v>
      </c>
      <c r="D43" s="7" t="s">
        <v>89</v>
      </c>
      <c r="E43" s="21" t="s">
        <v>227</v>
      </c>
      <c r="F43" s="24" t="s">
        <v>228</v>
      </c>
      <c r="H43" s="18" t="s">
        <v>141</v>
      </c>
    </row>
    <row r="44" spans="1:8" x14ac:dyDescent="0.25">
      <c r="A44" s="9" t="s">
        <v>102</v>
      </c>
      <c r="B44" s="10" t="str">
        <f t="shared" si="0"/>
        <v>NB10L</v>
      </c>
      <c r="C44" s="15" t="str">
        <f t="shared" si="1"/>
        <v>XTCHNB10L</v>
      </c>
      <c r="D44" s="7" t="s">
        <v>27</v>
      </c>
      <c r="E44" s="21" t="s">
        <v>229</v>
      </c>
      <c r="F44" s="24" t="s">
        <v>230</v>
      </c>
      <c r="H44" s="18" t="s">
        <v>141</v>
      </c>
    </row>
    <row r="45" spans="1:8" x14ac:dyDescent="0.25">
      <c r="A45" s="9" t="s">
        <v>103</v>
      </c>
      <c r="B45" s="10" t="str">
        <f t="shared" si="0"/>
        <v>NB11L</v>
      </c>
      <c r="C45" s="15" t="str">
        <f t="shared" si="1"/>
        <v>XTCHNB11L</v>
      </c>
      <c r="D45" s="7" t="s">
        <v>26</v>
      </c>
      <c r="E45" s="21" t="s">
        <v>231</v>
      </c>
      <c r="F45" s="24" t="s">
        <v>232</v>
      </c>
      <c r="H45" s="18" t="s">
        <v>141</v>
      </c>
    </row>
    <row r="46" spans="1:8" x14ac:dyDescent="0.25">
      <c r="A46" s="9" t="s">
        <v>104</v>
      </c>
      <c r="B46" s="10" t="str">
        <f t="shared" si="0"/>
        <v>NB2LH</v>
      </c>
      <c r="C46" s="15" t="str">
        <f t="shared" si="1"/>
        <v>XTCHNB2LH</v>
      </c>
      <c r="D46" s="7" t="s">
        <v>18</v>
      </c>
      <c r="E46" s="21" t="s">
        <v>233</v>
      </c>
      <c r="F46" s="24" t="s">
        <v>234</v>
      </c>
      <c r="H46" s="18" t="s">
        <v>141</v>
      </c>
    </row>
    <row r="47" spans="1:8" x14ac:dyDescent="0.25">
      <c r="A47" s="9" t="s">
        <v>105</v>
      </c>
      <c r="B47" s="10" t="str">
        <f t="shared" si="0"/>
        <v>NB4L</v>
      </c>
      <c r="C47" s="15" t="str">
        <f t="shared" si="1"/>
        <v>XTCHNB4L</v>
      </c>
      <c r="D47" s="7" t="s">
        <v>32</v>
      </c>
      <c r="E47" s="21" t="s">
        <v>170</v>
      </c>
      <c r="F47" s="24" t="s">
        <v>235</v>
      </c>
      <c r="H47" s="18" t="s">
        <v>141</v>
      </c>
    </row>
    <row r="48" spans="1:8" x14ac:dyDescent="0.25">
      <c r="A48" s="9" t="s">
        <v>106</v>
      </c>
      <c r="B48" s="10" t="str">
        <f t="shared" si="0"/>
        <v>NB5L</v>
      </c>
      <c r="C48" s="15" t="str">
        <f t="shared" si="1"/>
        <v>XTCHNB5L</v>
      </c>
      <c r="D48" s="7" t="s">
        <v>31</v>
      </c>
      <c r="E48" s="21" t="s">
        <v>236</v>
      </c>
      <c r="F48" s="24" t="s">
        <v>237</v>
      </c>
      <c r="H48" s="18" t="s">
        <v>141</v>
      </c>
    </row>
    <row r="49" spans="1:8" x14ac:dyDescent="0.25">
      <c r="A49" s="9" t="s">
        <v>107</v>
      </c>
      <c r="B49" s="10" t="str">
        <f t="shared" si="0"/>
        <v>NB6L</v>
      </c>
      <c r="C49" s="15" t="str">
        <f t="shared" si="1"/>
        <v>XTCHNB6L</v>
      </c>
      <c r="D49" s="7" t="s">
        <v>30</v>
      </c>
      <c r="E49" s="21" t="s">
        <v>238</v>
      </c>
      <c r="F49" s="24" t="s">
        <v>239</v>
      </c>
      <c r="H49" s="18" t="s">
        <v>141</v>
      </c>
    </row>
    <row r="50" spans="1:8" x14ac:dyDescent="0.25">
      <c r="A50" s="9" t="s">
        <v>108</v>
      </c>
      <c r="B50" s="10" t="str">
        <f t="shared" si="0"/>
        <v>NB7L</v>
      </c>
      <c r="C50" s="15" t="str">
        <f t="shared" si="1"/>
        <v>XTCHNB7L</v>
      </c>
      <c r="D50" s="7" t="s">
        <v>29</v>
      </c>
      <c r="E50" s="21" t="s">
        <v>240</v>
      </c>
      <c r="F50" s="24" t="s">
        <v>241</v>
      </c>
      <c r="H50" s="18" t="s">
        <v>141</v>
      </c>
    </row>
    <row r="51" spans="1:8" x14ac:dyDescent="0.25">
      <c r="A51" s="9" t="s">
        <v>109</v>
      </c>
      <c r="B51" s="10" t="str">
        <f t="shared" si="0"/>
        <v>NB8L</v>
      </c>
      <c r="C51" s="15" t="str">
        <f t="shared" si="1"/>
        <v>XTCHNB8L</v>
      </c>
      <c r="D51" s="7" t="s">
        <v>92</v>
      </c>
      <c r="E51" s="21" t="s">
        <v>242</v>
      </c>
      <c r="F51" s="24" t="s">
        <v>243</v>
      </c>
      <c r="H51" s="18" t="s">
        <v>141</v>
      </c>
    </row>
    <row r="52" spans="1:8" x14ac:dyDescent="0.25">
      <c r="A52" s="9" t="s">
        <v>110</v>
      </c>
      <c r="B52" s="10" t="str">
        <f t="shared" si="0"/>
        <v>NB9L</v>
      </c>
      <c r="C52" s="15" t="str">
        <f t="shared" si="1"/>
        <v>XTCHNB9L</v>
      </c>
      <c r="D52" s="7" t="s">
        <v>28</v>
      </c>
      <c r="E52" s="21" t="s">
        <v>244</v>
      </c>
      <c r="F52" s="24" t="s">
        <v>245</v>
      </c>
      <c r="H52" s="18" t="s">
        <v>141</v>
      </c>
    </row>
    <row r="53" spans="1:8" x14ac:dyDescent="0.25">
      <c r="A53" s="9" t="s">
        <v>111</v>
      </c>
      <c r="B53" s="10" t="str">
        <f t="shared" si="0"/>
        <v>NP45</v>
      </c>
      <c r="C53" s="15" t="str">
        <f t="shared" si="1"/>
        <v>XTCHNP45</v>
      </c>
      <c r="D53" s="7" t="s">
        <v>25</v>
      </c>
      <c r="E53" s="21" t="s">
        <v>246</v>
      </c>
      <c r="F53" s="24" t="s">
        <v>247</v>
      </c>
      <c r="H53" s="18" t="s">
        <v>141</v>
      </c>
    </row>
    <row r="54" spans="1:8" x14ac:dyDescent="0.25">
      <c r="A54" s="9" t="s">
        <v>112</v>
      </c>
      <c r="B54" s="10" t="str">
        <f t="shared" si="0"/>
        <v>NP48</v>
      </c>
      <c r="C54" s="15" t="str">
        <f t="shared" si="1"/>
        <v>XTCHNP48</v>
      </c>
      <c r="D54" s="7" t="s">
        <v>88</v>
      </c>
      <c r="E54" s="21" t="s">
        <v>248</v>
      </c>
      <c r="F54" s="24" t="s">
        <v>249</v>
      </c>
      <c r="H54" s="18" t="s">
        <v>141</v>
      </c>
    </row>
    <row r="55" spans="1:8" x14ac:dyDescent="0.25">
      <c r="A55" s="9" t="s">
        <v>113</v>
      </c>
      <c r="B55" s="10" t="str">
        <f t="shared" si="0"/>
        <v>NP50</v>
      </c>
      <c r="C55" s="15" t="str">
        <f t="shared" si="1"/>
        <v>XTCHNP50</v>
      </c>
      <c r="D55" s="7" t="s">
        <v>24</v>
      </c>
      <c r="E55" s="21" t="s">
        <v>250</v>
      </c>
      <c r="F55" s="24" t="s">
        <v>251</v>
      </c>
      <c r="H55" s="18" t="s">
        <v>141</v>
      </c>
    </row>
    <row r="56" spans="1:8" x14ac:dyDescent="0.25">
      <c r="A56" s="9" t="s">
        <v>114</v>
      </c>
      <c r="B56" s="10" t="str">
        <f t="shared" si="0"/>
        <v>NP85</v>
      </c>
      <c r="C56" s="15" t="str">
        <f t="shared" si="1"/>
        <v>XTCHNP85</v>
      </c>
      <c r="D56" s="7" t="s">
        <v>23</v>
      </c>
      <c r="E56" s="21" t="s">
        <v>253</v>
      </c>
      <c r="F56" s="24" t="s">
        <v>252</v>
      </c>
      <c r="H56" s="18" t="s">
        <v>141</v>
      </c>
    </row>
    <row r="57" spans="1:8" x14ac:dyDescent="0.25">
      <c r="A57" s="9" t="s">
        <v>115</v>
      </c>
      <c r="B57" s="10" t="str">
        <f t="shared" si="0"/>
        <v>NP95</v>
      </c>
      <c r="C57" s="15" t="str">
        <f t="shared" si="1"/>
        <v>XTCHNP95</v>
      </c>
      <c r="D57" s="7" t="s">
        <v>22</v>
      </c>
      <c r="E57" s="21" t="s">
        <v>254</v>
      </c>
      <c r="F57" s="24" t="s">
        <v>185</v>
      </c>
      <c r="H57" s="18" t="s">
        <v>141</v>
      </c>
    </row>
    <row r="58" spans="1:8" x14ac:dyDescent="0.25">
      <c r="A58" s="9" t="s">
        <v>116</v>
      </c>
      <c r="B58" s="10" t="str">
        <f t="shared" si="0"/>
        <v>NPBG1</v>
      </c>
      <c r="C58" s="15" t="str">
        <f t="shared" si="1"/>
        <v>XTCHNPBG1</v>
      </c>
      <c r="D58" s="7" t="s">
        <v>2</v>
      </c>
      <c r="E58" s="21" t="s">
        <v>186</v>
      </c>
      <c r="F58" s="24" t="s">
        <v>187</v>
      </c>
      <c r="H58" s="18" t="s">
        <v>141</v>
      </c>
    </row>
    <row r="59" spans="1:8" x14ac:dyDescent="0.25">
      <c r="A59" s="9" t="s">
        <v>117</v>
      </c>
      <c r="B59" s="10" t="str">
        <f t="shared" si="0"/>
        <v>NPBN1</v>
      </c>
      <c r="C59" s="15" t="str">
        <f t="shared" si="1"/>
        <v>XTCHNPBN1</v>
      </c>
      <c r="D59" s="7" t="s">
        <v>20</v>
      </c>
      <c r="E59" s="21" t="s">
        <v>188</v>
      </c>
      <c r="F59" s="24" t="s">
        <v>189</v>
      </c>
      <c r="H59" s="18" t="s">
        <v>141</v>
      </c>
    </row>
    <row r="60" spans="1:8" x14ac:dyDescent="0.25">
      <c r="A60" s="9" t="s">
        <v>118</v>
      </c>
      <c r="B60" s="10" t="str">
        <f t="shared" si="0"/>
        <v>NPBX1</v>
      </c>
      <c r="C60" s="15" t="str">
        <f t="shared" si="1"/>
        <v>XTCHNPBX1</v>
      </c>
      <c r="D60" s="7" t="s">
        <v>19</v>
      </c>
      <c r="E60" s="21" t="s">
        <v>190</v>
      </c>
      <c r="F60" s="24" t="s">
        <v>255</v>
      </c>
      <c r="H60" s="18" t="s">
        <v>141</v>
      </c>
    </row>
    <row r="61" spans="1:8" x14ac:dyDescent="0.25">
      <c r="A61" s="9" t="s">
        <v>119</v>
      </c>
      <c r="B61" s="10" t="str">
        <f t="shared" si="0"/>
        <v>NPF975</v>
      </c>
      <c r="C61" s="15" t="str">
        <f t="shared" si="1"/>
        <v>XTCHNPF975</v>
      </c>
      <c r="D61" s="7" t="s">
        <v>0</v>
      </c>
      <c r="E61" s="21" t="s">
        <v>192</v>
      </c>
      <c r="H61" s="18" t="s">
        <v>141</v>
      </c>
    </row>
    <row r="62" spans="1:8" x14ac:dyDescent="0.25">
      <c r="A62" s="9" t="s">
        <v>120</v>
      </c>
      <c r="B62" s="10" t="str">
        <f t="shared" si="0"/>
        <v>NPFH50</v>
      </c>
      <c r="C62" s="15" t="str">
        <f t="shared" si="1"/>
        <v>XTCHNPFH50</v>
      </c>
      <c r="D62" s="7" t="s">
        <v>21</v>
      </c>
      <c r="E62" s="21" t="s">
        <v>256</v>
      </c>
      <c r="F62" s="24" t="s">
        <v>257</v>
      </c>
      <c r="H62" s="18" t="s">
        <v>141</v>
      </c>
    </row>
    <row r="63" spans="1:8" x14ac:dyDescent="0.25">
      <c r="A63" s="9" t="s">
        <v>121</v>
      </c>
      <c r="B63" s="10" t="str">
        <f t="shared" si="0"/>
        <v>NPFM500H</v>
      </c>
      <c r="C63" s="15" t="str">
        <f t="shared" si="1"/>
        <v>XTCHNPFM500H</v>
      </c>
      <c r="D63" s="7" t="s">
        <v>1</v>
      </c>
      <c r="E63" s="21" t="s">
        <v>194</v>
      </c>
      <c r="F63" s="24" t="s">
        <v>195</v>
      </c>
      <c r="H63" s="18" t="s">
        <v>141</v>
      </c>
    </row>
    <row r="64" spans="1:8" x14ac:dyDescent="0.25">
      <c r="A64" s="9" t="s">
        <v>122</v>
      </c>
      <c r="B64" s="10" t="str">
        <f t="shared" si="0"/>
        <v>NPFV100</v>
      </c>
      <c r="C64" s="15" t="str">
        <f t="shared" si="1"/>
        <v>XTCHNPFV100</v>
      </c>
      <c r="D64" s="7" t="s">
        <v>15</v>
      </c>
      <c r="E64" s="21" t="s">
        <v>196</v>
      </c>
      <c r="F64" s="24" t="s">
        <v>197</v>
      </c>
      <c r="H64" s="18" t="s">
        <v>141</v>
      </c>
    </row>
    <row r="65" spans="1:8" x14ac:dyDescent="0.25">
      <c r="A65" s="9" t="s">
        <v>123</v>
      </c>
      <c r="B65" s="10" t="str">
        <f t="shared" si="0"/>
        <v>NPFV50</v>
      </c>
      <c r="C65" s="15" t="str">
        <f t="shared" si="1"/>
        <v>XTCHNPFV50</v>
      </c>
      <c r="D65" s="7" t="s">
        <v>3</v>
      </c>
      <c r="E65" s="21" t="s">
        <v>198</v>
      </c>
      <c r="F65" s="24" t="s">
        <v>258</v>
      </c>
      <c r="H65" s="18" t="s">
        <v>141</v>
      </c>
    </row>
    <row r="66" spans="1:8" x14ac:dyDescent="0.25">
      <c r="A66" s="9" t="s">
        <v>124</v>
      </c>
      <c r="B66" s="10" t="str">
        <f t="shared" si="0"/>
        <v>NPFV70</v>
      </c>
      <c r="C66" s="15" t="str">
        <f t="shared" si="1"/>
        <v>XTCHNPFV70</v>
      </c>
      <c r="D66" s="7" t="s">
        <v>17</v>
      </c>
      <c r="E66" s="21" t="s">
        <v>196</v>
      </c>
      <c r="F66" s="24" t="s">
        <v>200</v>
      </c>
      <c r="H66" s="18" t="s">
        <v>141</v>
      </c>
    </row>
    <row r="67" spans="1:8" x14ac:dyDescent="0.25">
      <c r="A67" s="9" t="s">
        <v>125</v>
      </c>
      <c r="B67" s="10" t="str">
        <f t="shared" ref="B67:B93" si="2">RIGHT(A67, LEN(A67)-2)</f>
        <v>NPFW50</v>
      </c>
      <c r="C67" s="15" t="str">
        <f t="shared" ref="C67:C93" si="3">"XTCH"&amp;B67</f>
        <v>XTCHNPFW50</v>
      </c>
      <c r="D67" s="7" t="s">
        <v>16</v>
      </c>
      <c r="E67" s="21" t="s">
        <v>201</v>
      </c>
      <c r="H67" s="18" t="s">
        <v>141</v>
      </c>
    </row>
    <row r="68" spans="1:8" x14ac:dyDescent="0.25">
      <c r="A68" s="9" t="s">
        <v>126</v>
      </c>
      <c r="B68" s="10" t="str">
        <f t="shared" si="2"/>
        <v>NPW126</v>
      </c>
      <c r="C68" s="15" t="str">
        <f t="shared" si="3"/>
        <v>XTCHNPW126</v>
      </c>
      <c r="D68" s="7" t="s">
        <v>14</v>
      </c>
      <c r="E68" s="21" t="s">
        <v>202</v>
      </c>
      <c r="F68" s="24" t="s">
        <v>259</v>
      </c>
      <c r="H68" s="18" t="s">
        <v>141</v>
      </c>
    </row>
    <row r="69" spans="1:8" x14ac:dyDescent="0.25">
      <c r="A69" s="9" t="s">
        <v>127</v>
      </c>
      <c r="B69" s="10" t="str">
        <f t="shared" si="2"/>
        <v>SLB10A</v>
      </c>
      <c r="C69" s="15" t="str">
        <f t="shared" si="3"/>
        <v>XTCHSLB10A</v>
      </c>
      <c r="D69" s="7" t="s">
        <v>33</v>
      </c>
      <c r="E69" s="21" t="s">
        <v>204</v>
      </c>
      <c r="F69" s="24" t="s">
        <v>205</v>
      </c>
      <c r="H69" s="18" t="s">
        <v>141</v>
      </c>
    </row>
    <row r="70" spans="1:8" x14ac:dyDescent="0.25">
      <c r="A70" s="9" t="s">
        <v>128</v>
      </c>
      <c r="B70" s="10" t="str">
        <f t="shared" si="2"/>
        <v>VBG260</v>
      </c>
      <c r="C70" s="15" t="str">
        <f t="shared" si="3"/>
        <v>XTCHVBG260</v>
      </c>
      <c r="D70" s="7" t="s">
        <v>13</v>
      </c>
      <c r="E70" s="21" t="s">
        <v>204</v>
      </c>
      <c r="F70" s="24" t="s">
        <v>205</v>
      </c>
      <c r="H70" s="18" t="s">
        <v>141</v>
      </c>
    </row>
    <row r="71" spans="1:8" x14ac:dyDescent="0.25">
      <c r="A71" s="9" t="s">
        <v>129</v>
      </c>
      <c r="B71" s="10" t="str">
        <f t="shared" si="2"/>
        <v>VBG6</v>
      </c>
      <c r="C71" s="15" t="str">
        <f t="shared" si="3"/>
        <v>XTCHVBG6</v>
      </c>
      <c r="D71" s="7" t="s">
        <v>12</v>
      </c>
      <c r="E71" s="21" t="s">
        <v>208</v>
      </c>
      <c r="F71" s="24" t="s">
        <v>260</v>
      </c>
      <c r="H71" s="18" t="s">
        <v>141</v>
      </c>
    </row>
    <row r="72" spans="1:8" x14ac:dyDescent="0.25">
      <c r="A72" s="9" t="s">
        <v>130</v>
      </c>
      <c r="B72" s="10" t="str">
        <f t="shared" si="2"/>
        <v>VBK180</v>
      </c>
      <c r="C72" s="15" t="str">
        <f t="shared" si="3"/>
        <v>XTCHVBK180</v>
      </c>
      <c r="D72" s="7" t="s">
        <v>10</v>
      </c>
      <c r="E72" s="21" t="s">
        <v>210</v>
      </c>
      <c r="F72" s="24" t="s">
        <v>211</v>
      </c>
      <c r="H72" s="18" t="s">
        <v>141</v>
      </c>
    </row>
    <row r="73" spans="1:8" x14ac:dyDescent="0.25">
      <c r="A73" s="9" t="s">
        <v>131</v>
      </c>
      <c r="B73" s="10" t="str">
        <f t="shared" si="2"/>
        <v>VBK360</v>
      </c>
      <c r="C73" s="15" t="str">
        <f t="shared" si="3"/>
        <v>XTCHVBK360</v>
      </c>
      <c r="D73" s="7" t="s">
        <v>11</v>
      </c>
      <c r="E73" s="21" t="s">
        <v>210</v>
      </c>
      <c r="F73" s="24" t="s">
        <v>211</v>
      </c>
      <c r="H73" s="18" t="s">
        <v>141</v>
      </c>
    </row>
    <row r="74" spans="1:8" x14ac:dyDescent="0.25">
      <c r="A74" s="9" t="s">
        <v>132</v>
      </c>
      <c r="B74" s="10" t="str">
        <f t="shared" si="2"/>
        <v>VBN130</v>
      </c>
      <c r="C74" s="15" t="str">
        <f t="shared" si="3"/>
        <v>XTCHVBN130</v>
      </c>
      <c r="D74" s="7" t="s">
        <v>9</v>
      </c>
      <c r="E74" s="21" t="s">
        <v>212</v>
      </c>
      <c r="F74" s="24" t="s">
        <v>213</v>
      </c>
      <c r="H74" s="18" t="s">
        <v>141</v>
      </c>
    </row>
    <row r="75" spans="1:8" x14ac:dyDescent="0.25">
      <c r="A75" s="9" t="s">
        <v>133</v>
      </c>
      <c r="B75" s="10" t="str">
        <f t="shared" si="2"/>
        <v>VBN260</v>
      </c>
      <c r="C75" s="15" t="str">
        <f t="shared" si="3"/>
        <v>XTCHVBN260</v>
      </c>
      <c r="D75" s="7" t="s">
        <v>8</v>
      </c>
      <c r="E75" s="21" t="s">
        <v>212</v>
      </c>
      <c r="H75" s="18" t="s">
        <v>141</v>
      </c>
    </row>
    <row r="76" spans="1:8" x14ac:dyDescent="0.25">
      <c r="A76" s="9" t="s">
        <v>134</v>
      </c>
      <c r="B76" s="10" t="str">
        <f t="shared" si="2"/>
        <v>VF815</v>
      </c>
      <c r="C76" s="15" t="str">
        <f t="shared" si="3"/>
        <v>XTCHVF815</v>
      </c>
      <c r="D76" s="7" t="s">
        <v>7</v>
      </c>
      <c r="E76" s="21" t="s">
        <v>261</v>
      </c>
      <c r="F76" s="24" t="s">
        <v>216</v>
      </c>
      <c r="H76" s="18" t="s">
        <v>141</v>
      </c>
    </row>
    <row r="77" spans="1:8" x14ac:dyDescent="0.25">
      <c r="A77" s="9" t="s">
        <v>135</v>
      </c>
      <c r="B77" s="10" t="str">
        <f t="shared" si="2"/>
        <v>VF823</v>
      </c>
      <c r="C77" s="15" t="str">
        <f t="shared" si="3"/>
        <v>XTCHVF823</v>
      </c>
      <c r="D77" s="7" t="s">
        <v>6</v>
      </c>
      <c r="E77" s="21" t="s">
        <v>217</v>
      </c>
      <c r="F77" s="24" t="s">
        <v>218</v>
      </c>
      <c r="H77" s="18" t="s">
        <v>141</v>
      </c>
    </row>
    <row r="78" spans="1:8" x14ac:dyDescent="0.25">
      <c r="A78" s="9" t="s">
        <v>136</v>
      </c>
      <c r="B78" s="10" t="str">
        <f t="shared" si="2"/>
        <v>VG121</v>
      </c>
      <c r="C78" s="15" t="str">
        <f t="shared" si="3"/>
        <v>XTCHVG121</v>
      </c>
      <c r="D78" s="7" t="s">
        <v>5</v>
      </c>
      <c r="E78" s="21" t="s">
        <v>219</v>
      </c>
      <c r="F78" s="24" t="s">
        <v>262</v>
      </c>
      <c r="H78" s="18" t="s">
        <v>141</v>
      </c>
    </row>
    <row r="79" spans="1:8" x14ac:dyDescent="0.25">
      <c r="A79" s="9" t="s">
        <v>137</v>
      </c>
      <c r="B79" s="10" t="str">
        <f t="shared" si="2"/>
        <v>VG138</v>
      </c>
      <c r="C79" s="15" t="str">
        <f t="shared" si="3"/>
        <v>XTCHVG138</v>
      </c>
      <c r="D79" s="7" t="s">
        <v>4</v>
      </c>
      <c r="E79" s="21" t="s">
        <v>221</v>
      </c>
      <c r="F79" s="24" t="s">
        <v>222</v>
      </c>
      <c r="H79" s="18" t="s">
        <v>141</v>
      </c>
    </row>
    <row r="80" spans="1:8" x14ac:dyDescent="0.25">
      <c r="A80" s="9" t="s">
        <v>66</v>
      </c>
      <c r="B80" s="10" t="str">
        <f t="shared" si="2"/>
        <v>ENEL8</v>
      </c>
      <c r="C80" s="15" t="str">
        <f t="shared" si="3"/>
        <v>XTCHENEL8</v>
      </c>
      <c r="D80" s="7" t="s">
        <v>143</v>
      </c>
      <c r="E80" s="21" t="s">
        <v>263</v>
      </c>
      <c r="F80" s="24" t="s">
        <v>264</v>
      </c>
      <c r="H80" s="18" t="s">
        <v>141</v>
      </c>
    </row>
    <row r="81" spans="1:8" x14ac:dyDescent="0.25">
      <c r="A81" s="9" t="s">
        <v>96</v>
      </c>
      <c r="B81" s="10" t="str">
        <f t="shared" si="2"/>
        <v>ENEL9</v>
      </c>
      <c r="C81" s="15" t="str">
        <f t="shared" si="3"/>
        <v>XTCHENEL9</v>
      </c>
      <c r="D81" s="7" t="s">
        <v>144</v>
      </c>
      <c r="E81" s="21" t="s">
        <v>265</v>
      </c>
      <c r="F81" s="24" t="s">
        <v>266</v>
      </c>
      <c r="H81" s="18" t="s">
        <v>141</v>
      </c>
    </row>
    <row r="82" spans="1:8" x14ac:dyDescent="0.25">
      <c r="A82" s="9" t="s">
        <v>73</v>
      </c>
      <c r="B82" s="10" t="str">
        <f t="shared" si="2"/>
        <v>GPH3</v>
      </c>
      <c r="C82" s="15" t="str">
        <f t="shared" si="3"/>
        <v>XTCHGPH3</v>
      </c>
      <c r="D82" s="7" t="s">
        <v>145</v>
      </c>
      <c r="E82" s="21" t="s">
        <v>292</v>
      </c>
      <c r="F82" s="24" t="s">
        <v>293</v>
      </c>
      <c r="H82" s="18" t="s">
        <v>141</v>
      </c>
    </row>
    <row r="83" spans="1:8" x14ac:dyDescent="0.25">
      <c r="A83" s="9" t="s">
        <v>79</v>
      </c>
      <c r="B83" s="10" t="str">
        <f t="shared" si="2"/>
        <v>LI109</v>
      </c>
      <c r="C83" s="15" t="str">
        <f t="shared" si="3"/>
        <v>XTCHLI109</v>
      </c>
      <c r="D83" s="7" t="s">
        <v>146</v>
      </c>
      <c r="E83" s="21" t="s">
        <v>267</v>
      </c>
      <c r="F83" s="24" t="s">
        <v>268</v>
      </c>
      <c r="H83" s="18" t="s">
        <v>141</v>
      </c>
    </row>
    <row r="84" spans="1:8" x14ac:dyDescent="0.25">
      <c r="A84" s="9" t="s">
        <v>74</v>
      </c>
      <c r="B84" s="10" t="str">
        <f t="shared" si="2"/>
        <v>LI42B</v>
      </c>
      <c r="C84" s="15" t="str">
        <f t="shared" si="3"/>
        <v>XTCHLI42B</v>
      </c>
      <c r="D84" s="7" t="s">
        <v>147</v>
      </c>
      <c r="E84" s="21" t="s">
        <v>269</v>
      </c>
      <c r="F84" s="24" t="s">
        <v>270</v>
      </c>
      <c r="H84" s="18" t="s">
        <v>141</v>
      </c>
    </row>
    <row r="85" spans="1:8" x14ac:dyDescent="0.25">
      <c r="A85" s="9" t="s">
        <v>75</v>
      </c>
      <c r="B85" s="10" t="str">
        <f t="shared" si="2"/>
        <v>LI50B</v>
      </c>
      <c r="C85" s="15" t="str">
        <f t="shared" si="3"/>
        <v>XTCHLI50B</v>
      </c>
      <c r="D85" s="7" t="s">
        <v>148</v>
      </c>
      <c r="E85" s="21" t="s">
        <v>271</v>
      </c>
      <c r="F85" s="24" t="s">
        <v>272</v>
      </c>
      <c r="H85" s="18" t="s">
        <v>141</v>
      </c>
    </row>
    <row r="86" spans="1:8" x14ac:dyDescent="0.25">
      <c r="A86" s="9" t="s">
        <v>76</v>
      </c>
      <c r="B86" s="10" t="str">
        <f t="shared" si="2"/>
        <v>LI70B</v>
      </c>
      <c r="C86" s="15" t="str">
        <f t="shared" si="3"/>
        <v>XTCHLI70B</v>
      </c>
      <c r="D86" s="7" t="s">
        <v>149</v>
      </c>
      <c r="E86" s="21" t="s">
        <v>273</v>
      </c>
      <c r="F86" s="24" t="s">
        <v>274</v>
      </c>
      <c r="H86" s="18" t="s">
        <v>141</v>
      </c>
    </row>
    <row r="87" spans="1:8" x14ac:dyDescent="0.25">
      <c r="A87" s="9" t="s">
        <v>77</v>
      </c>
      <c r="B87" s="10" t="str">
        <f t="shared" si="2"/>
        <v>LI90</v>
      </c>
      <c r="C87" s="15" t="str">
        <f t="shared" si="3"/>
        <v>XTCHLI90</v>
      </c>
      <c r="D87" s="7" t="s">
        <v>150</v>
      </c>
      <c r="E87" s="21" t="s">
        <v>275</v>
      </c>
      <c r="F87" s="24" t="s">
        <v>276</v>
      </c>
      <c r="H87" s="18" t="s">
        <v>141</v>
      </c>
    </row>
    <row r="88" spans="1:8" x14ac:dyDescent="0.25">
      <c r="A88" s="9" t="s">
        <v>78</v>
      </c>
      <c r="B88" s="10" t="str">
        <f t="shared" si="2"/>
        <v>LI90B</v>
      </c>
      <c r="C88" s="15" t="str">
        <f t="shared" si="3"/>
        <v>XTCHLI90B</v>
      </c>
      <c r="D88" s="7" t="s">
        <v>151</v>
      </c>
      <c r="E88" s="21" t="s">
        <v>277</v>
      </c>
      <c r="F88" s="24" t="s">
        <v>278</v>
      </c>
      <c r="H88" s="18" t="s">
        <v>141</v>
      </c>
    </row>
    <row r="89" spans="1:8" x14ac:dyDescent="0.25">
      <c r="A89" s="9" t="s">
        <v>82</v>
      </c>
      <c r="B89" s="10" t="str">
        <f t="shared" si="2"/>
        <v>LPE10</v>
      </c>
      <c r="C89" s="15" t="str">
        <f t="shared" si="3"/>
        <v>XTCHLPE10</v>
      </c>
      <c r="D89" s="7" t="s">
        <v>152</v>
      </c>
      <c r="E89" s="21" t="s">
        <v>279</v>
      </c>
      <c r="F89" s="24" t="s">
        <v>280</v>
      </c>
      <c r="H89" s="18" t="s">
        <v>141</v>
      </c>
    </row>
    <row r="90" spans="1:8" x14ac:dyDescent="0.25">
      <c r="A90" s="9" t="s">
        <v>83</v>
      </c>
      <c r="B90" s="10" t="str">
        <f t="shared" si="2"/>
        <v>LPE12</v>
      </c>
      <c r="C90" s="15" t="str">
        <f t="shared" si="3"/>
        <v>XTCHLPE12</v>
      </c>
      <c r="D90" s="7" t="s">
        <v>153</v>
      </c>
      <c r="E90" s="21" t="s">
        <v>281</v>
      </c>
      <c r="F90" s="24" t="s">
        <v>282</v>
      </c>
      <c r="H90" s="18" t="s">
        <v>141</v>
      </c>
    </row>
    <row r="91" spans="1:8" x14ac:dyDescent="0.25">
      <c r="A91" s="9" t="s">
        <v>93</v>
      </c>
      <c r="B91" s="10" t="str">
        <f t="shared" si="2"/>
        <v>LPE5</v>
      </c>
      <c r="C91" s="15" t="str">
        <f t="shared" si="3"/>
        <v>XTCHLPE5</v>
      </c>
      <c r="D91" s="7" t="s">
        <v>154</v>
      </c>
      <c r="E91" s="21" t="s">
        <v>283</v>
      </c>
      <c r="F91" s="24" t="s">
        <v>284</v>
      </c>
      <c r="H91" s="18" t="s">
        <v>141</v>
      </c>
    </row>
    <row r="92" spans="1:8" x14ac:dyDescent="0.25">
      <c r="A92" s="9" t="s">
        <v>80</v>
      </c>
      <c r="B92" s="10" t="str">
        <f t="shared" si="2"/>
        <v>LPE6</v>
      </c>
      <c r="C92" s="15" t="str">
        <f t="shared" si="3"/>
        <v>XTCHLPE6</v>
      </c>
      <c r="D92" s="7" t="s">
        <v>155</v>
      </c>
      <c r="E92" s="21" t="s">
        <v>285</v>
      </c>
      <c r="F92" s="24" t="s">
        <v>286</v>
      </c>
      <c r="H92" s="18" t="s">
        <v>141</v>
      </c>
    </row>
    <row r="93" spans="1:8" x14ac:dyDescent="0.25">
      <c r="A93" s="9" t="s">
        <v>81</v>
      </c>
      <c r="B93" s="10" t="str">
        <f t="shared" si="2"/>
        <v>LPE8</v>
      </c>
      <c r="C93" s="15" t="str">
        <f t="shared" si="3"/>
        <v>XTCHLPE8</v>
      </c>
      <c r="D93" s="7" t="s">
        <v>156</v>
      </c>
      <c r="E93" s="21" t="s">
        <v>287</v>
      </c>
      <c r="F93" s="24" t="s">
        <v>288</v>
      </c>
      <c r="H93" s="18" t="s">
        <v>141</v>
      </c>
    </row>
    <row r="94" spans="1:8" s="26" customFormat="1" x14ac:dyDescent="0.25">
      <c r="H94" s="28"/>
    </row>
    <row r="95" spans="1:8" s="26" customFormat="1" x14ac:dyDescent="0.25">
      <c r="H95" s="27"/>
    </row>
    <row r="96" spans="1:8" x14ac:dyDescent="0.25">
      <c r="A96" s="9" t="s">
        <v>35</v>
      </c>
      <c r="B96" s="10" t="str">
        <f>RIGHT(A96, LEN(A96)-2)</f>
        <v>BCG10</v>
      </c>
      <c r="C96" s="15" t="str">
        <f>"XTCH"&amp;B96</f>
        <v>XTCHBCG10</v>
      </c>
      <c r="D96" s="7" t="s">
        <v>372</v>
      </c>
      <c r="E96" s="21" t="s">
        <v>434</v>
      </c>
      <c r="F96" s="24" t="s">
        <v>506</v>
      </c>
      <c r="H96" s="18" t="s">
        <v>577</v>
      </c>
    </row>
    <row r="97" spans="1:8" x14ac:dyDescent="0.25">
      <c r="A97" s="9" t="s">
        <v>417</v>
      </c>
      <c r="B97" s="10" t="str">
        <f>RIGHT(A97, LEN(A97)-2)</f>
        <v>B7</v>
      </c>
      <c r="C97" s="15" t="str">
        <f>"XTCH"&amp;B97</f>
        <v>XTCHB7</v>
      </c>
      <c r="D97" s="7" t="s">
        <v>373</v>
      </c>
      <c r="E97" s="21" t="s">
        <v>435</v>
      </c>
      <c r="F97" s="24" t="s">
        <v>507</v>
      </c>
      <c r="H97" s="18" t="s">
        <v>577</v>
      </c>
    </row>
    <row r="98" spans="1:8" x14ac:dyDescent="0.25">
      <c r="A98" s="9" t="s">
        <v>37</v>
      </c>
      <c r="B98" s="10" t="str">
        <f>RIGHT(A98, LEN(A98)-2)</f>
        <v>BCJ13</v>
      </c>
      <c r="C98" s="15" t="str">
        <f>"XTCH"&amp;B98</f>
        <v>XTCHBCJ13</v>
      </c>
      <c r="D98" s="7" t="s">
        <v>374</v>
      </c>
      <c r="E98" s="21" t="s">
        <v>436</v>
      </c>
      <c r="F98" s="24" t="s">
        <v>508</v>
      </c>
      <c r="H98" s="18" t="s">
        <v>577</v>
      </c>
    </row>
    <row r="99" spans="1:8" x14ac:dyDescent="0.25">
      <c r="A99" s="9" t="s">
        <v>38</v>
      </c>
      <c r="B99" s="10" t="str">
        <f>RIGHT(A99, LEN(A99)-2)</f>
        <v>BCK7</v>
      </c>
      <c r="C99" s="15" t="str">
        <f>"XTCH"&amp;B99</f>
        <v>XTCHBCK7</v>
      </c>
      <c r="D99" s="7" t="s">
        <v>375</v>
      </c>
      <c r="E99" s="21" t="s">
        <v>437</v>
      </c>
      <c r="F99" s="24" t="s">
        <v>509</v>
      </c>
      <c r="H99" s="18" t="s">
        <v>577</v>
      </c>
    </row>
    <row r="100" spans="1:8" x14ac:dyDescent="0.25">
      <c r="A100" s="9" t="s">
        <v>39</v>
      </c>
      <c r="B100" s="10" t="str">
        <f>RIGHT(A100, LEN(A100)-2)</f>
        <v>BCL7</v>
      </c>
      <c r="C100" s="15" t="str">
        <f>"XTCH"&amp;B100</f>
        <v>XTCHBCL7</v>
      </c>
      <c r="D100" s="7" t="s">
        <v>376</v>
      </c>
      <c r="E100" s="21" t="s">
        <v>438</v>
      </c>
      <c r="F100" s="24" t="s">
        <v>510</v>
      </c>
      <c r="H100" s="18" t="s">
        <v>577</v>
      </c>
    </row>
    <row r="101" spans="1:8" x14ac:dyDescent="0.25">
      <c r="A101" s="9" t="s">
        <v>40</v>
      </c>
      <c r="B101" s="10" t="str">
        <f>RIGHT(A101, LEN(A101)-2)</f>
        <v>BCM13</v>
      </c>
      <c r="C101" s="15" t="str">
        <f>"XTCH"&amp;B101</f>
        <v>XTCHBCM13</v>
      </c>
      <c r="D101" s="7" t="s">
        <v>377</v>
      </c>
      <c r="E101" s="21" t="s">
        <v>439</v>
      </c>
      <c r="F101" s="24" t="s">
        <v>511</v>
      </c>
      <c r="H101" s="18" t="s">
        <v>577</v>
      </c>
    </row>
    <row r="102" spans="1:8" x14ac:dyDescent="0.25">
      <c r="A102" s="9" t="s">
        <v>94</v>
      </c>
      <c r="B102" s="10" t="str">
        <f>RIGHT(A102, LEN(A102)-2)</f>
        <v>BCN10</v>
      </c>
      <c r="C102" s="15" t="str">
        <f>"XTCH"&amp;B102</f>
        <v>XTCHBCN10</v>
      </c>
      <c r="D102" s="7" t="s">
        <v>378</v>
      </c>
      <c r="E102" s="21" t="s">
        <v>440</v>
      </c>
      <c r="F102" s="24" t="s">
        <v>512</v>
      </c>
      <c r="H102" s="18" t="s">
        <v>577</v>
      </c>
    </row>
    <row r="103" spans="1:8" x14ac:dyDescent="0.25">
      <c r="A103" s="9" t="s">
        <v>41</v>
      </c>
      <c r="B103" s="10" t="str">
        <f>RIGHT(A103, LEN(A103)-2)</f>
        <v>BLC12</v>
      </c>
      <c r="C103" s="15" t="str">
        <f>"XTCH"&amp;B103</f>
        <v>XTCHBLC12</v>
      </c>
      <c r="D103" s="7" t="s">
        <v>379</v>
      </c>
      <c r="E103" s="21" t="s">
        <v>505</v>
      </c>
      <c r="F103" s="24" t="s">
        <v>513</v>
      </c>
      <c r="H103" s="18" t="s">
        <v>577</v>
      </c>
    </row>
    <row r="104" spans="1:8" x14ac:dyDescent="0.25">
      <c r="A104" s="9" t="s">
        <v>42</v>
      </c>
      <c r="B104" s="10" t="str">
        <f>RIGHT(A104, LEN(A104)-2)</f>
        <v>BLD10</v>
      </c>
      <c r="C104" s="15" t="str">
        <f>"XTCH"&amp;B104</f>
        <v>XTCHBLD10</v>
      </c>
      <c r="D104" s="7" t="s">
        <v>380</v>
      </c>
      <c r="E104" s="21" t="s">
        <v>442</v>
      </c>
      <c r="F104" s="24" t="s">
        <v>514</v>
      </c>
      <c r="H104" s="18" t="s">
        <v>577</v>
      </c>
    </row>
    <row r="105" spans="1:8" x14ac:dyDescent="0.25">
      <c r="A105" s="9" t="s">
        <v>43</v>
      </c>
      <c r="B105" s="10" t="str">
        <f>RIGHT(A105, LEN(A105)-2)</f>
        <v>BLE9</v>
      </c>
      <c r="C105" s="15" t="str">
        <f>"XTCH"&amp;B105</f>
        <v>XTCHBLE9</v>
      </c>
      <c r="D105" s="7" t="s">
        <v>381</v>
      </c>
      <c r="E105" s="21" t="s">
        <v>443</v>
      </c>
      <c r="F105" s="24" t="s">
        <v>515</v>
      </c>
      <c r="H105" s="18" t="s">
        <v>577</v>
      </c>
    </row>
    <row r="106" spans="1:8" x14ac:dyDescent="0.25">
      <c r="A106" s="9" t="s">
        <v>44</v>
      </c>
      <c r="B106" s="10" t="str">
        <f>RIGHT(A106, LEN(A106)-2)</f>
        <v>BLF19</v>
      </c>
      <c r="C106" s="15" t="str">
        <f>"XTCH"&amp;B106</f>
        <v>XTCHBLF19</v>
      </c>
      <c r="D106" s="7" t="s">
        <v>382</v>
      </c>
      <c r="E106" s="21" t="s">
        <v>444</v>
      </c>
      <c r="F106" s="24" t="s">
        <v>516</v>
      </c>
      <c r="H106" s="18" t="s">
        <v>577</v>
      </c>
    </row>
    <row r="107" spans="1:8" x14ac:dyDescent="0.25">
      <c r="A107" s="9" t="s">
        <v>45</v>
      </c>
      <c r="B107" s="10" t="str">
        <f>RIGHT(A107, LEN(A107)-2)</f>
        <v>BLG10</v>
      </c>
      <c r="C107" s="15" t="str">
        <f>"XTCH"&amp;B107</f>
        <v>XTCHBLG10</v>
      </c>
      <c r="D107" s="7" t="s">
        <v>383</v>
      </c>
      <c r="E107" s="21" t="s">
        <v>445</v>
      </c>
      <c r="F107" s="24" t="s">
        <v>517</v>
      </c>
      <c r="H107" s="18" t="s">
        <v>577</v>
      </c>
    </row>
    <row r="108" spans="1:8" x14ac:dyDescent="0.25">
      <c r="A108" s="9" t="s">
        <v>47</v>
      </c>
      <c r="B108" s="10" t="str">
        <f>RIGHT(A108, LEN(A108)-2)</f>
        <v>BLS1</v>
      </c>
      <c r="C108" s="15" t="str">
        <f>"XTCH"&amp;B108</f>
        <v>XTCHBLS1</v>
      </c>
      <c r="D108" s="7" t="s">
        <v>384</v>
      </c>
      <c r="E108" s="21" t="s">
        <v>446</v>
      </c>
      <c r="F108" s="24" t="s">
        <v>518</v>
      </c>
      <c r="H108" s="18" t="s">
        <v>577</v>
      </c>
    </row>
    <row r="109" spans="1:8" x14ac:dyDescent="0.25">
      <c r="A109" s="9" t="s">
        <v>49</v>
      </c>
      <c r="B109" s="10" t="str">
        <f>RIGHT(A109, LEN(A109)-2)</f>
        <v>BMB9</v>
      </c>
      <c r="C109" s="15" t="str">
        <f>"XTCH"&amp;B109</f>
        <v>XTCHBMB9</v>
      </c>
      <c r="D109" s="7" t="s">
        <v>385</v>
      </c>
      <c r="E109" s="21" t="s">
        <v>447</v>
      </c>
      <c r="F109" s="24" t="s">
        <v>519</v>
      </c>
      <c r="H109" s="18" t="s">
        <v>577</v>
      </c>
    </row>
    <row r="110" spans="1:8" x14ac:dyDescent="0.25">
      <c r="A110" s="9" t="s">
        <v>418</v>
      </c>
      <c r="B110" s="10" t="str">
        <f>RIGHT(A110, LEN(A110)-2)</f>
        <v>BN1</v>
      </c>
      <c r="C110" s="15" t="str">
        <f>"XTCH"&amp;B110</f>
        <v>XTCHBN1</v>
      </c>
      <c r="D110" s="7" t="s">
        <v>386</v>
      </c>
      <c r="E110" s="21" t="s">
        <v>448</v>
      </c>
      <c r="F110" s="24" t="s">
        <v>520</v>
      </c>
      <c r="H110" s="18" t="s">
        <v>577</v>
      </c>
    </row>
    <row r="111" spans="1:8" x14ac:dyDescent="0.25">
      <c r="A111" s="9" t="s">
        <v>419</v>
      </c>
      <c r="B111" s="10" t="str">
        <f>RIGHT(A111, LEN(A111)-2)</f>
        <v>BNVG121</v>
      </c>
      <c r="C111" s="15" t="str">
        <f>"XTCH"&amp;B111</f>
        <v>XTCHBNVG121</v>
      </c>
      <c r="D111" s="7" t="s">
        <v>387</v>
      </c>
      <c r="E111" s="21" t="s">
        <v>449</v>
      </c>
      <c r="F111" s="24" t="s">
        <v>521</v>
      </c>
      <c r="H111" s="18" t="s">
        <v>577</v>
      </c>
    </row>
    <row r="112" spans="1:8" x14ac:dyDescent="0.25">
      <c r="A112" s="9" t="s">
        <v>61</v>
      </c>
      <c r="B112" s="10" t="str">
        <f>RIGHT(A112, LEN(A112)-2)</f>
        <v>BP1030</v>
      </c>
      <c r="C112" s="15" t="str">
        <f>"XTCH"&amp;B112</f>
        <v>XTCHBP1030</v>
      </c>
      <c r="D112" s="7" t="s">
        <v>388</v>
      </c>
      <c r="E112" s="21" t="s">
        <v>450</v>
      </c>
      <c r="F112" s="24" t="s">
        <v>522</v>
      </c>
      <c r="H112" s="18" t="s">
        <v>577</v>
      </c>
    </row>
    <row r="113" spans="1:8" x14ac:dyDescent="0.25">
      <c r="A113" s="9" t="s">
        <v>51</v>
      </c>
      <c r="B113" s="10" t="str">
        <f>RIGHT(A113, LEN(A113)-2)</f>
        <v>BP110</v>
      </c>
      <c r="C113" s="15" t="str">
        <f>"XTCH"&amp;B113</f>
        <v>XTCHBP110</v>
      </c>
      <c r="D113" s="7" t="s">
        <v>389</v>
      </c>
      <c r="E113" s="21" t="s">
        <v>451</v>
      </c>
      <c r="F113" s="24" t="s">
        <v>523</v>
      </c>
      <c r="H113" s="18" t="s">
        <v>577</v>
      </c>
    </row>
    <row r="114" spans="1:8" x14ac:dyDescent="0.25">
      <c r="A114" s="9" t="s">
        <v>62</v>
      </c>
      <c r="B114" s="10" t="str">
        <f>RIGHT(A114, LEN(A114)-2)</f>
        <v>BP1310</v>
      </c>
      <c r="C114" s="15" t="str">
        <f>"XTCH"&amp;B114</f>
        <v>XTCHBP1310</v>
      </c>
      <c r="D114" s="7" t="s">
        <v>390</v>
      </c>
      <c r="E114" s="21" t="s">
        <v>452</v>
      </c>
      <c r="F114" s="24" t="s">
        <v>524</v>
      </c>
      <c r="H114" s="18" t="s">
        <v>577</v>
      </c>
    </row>
    <row r="115" spans="1:8" x14ac:dyDescent="0.25">
      <c r="A115" s="9" t="s">
        <v>52</v>
      </c>
      <c r="B115" s="10" t="str">
        <f>RIGHT(A115, LEN(A115)-2)</f>
        <v>BP511</v>
      </c>
      <c r="C115" s="15" t="str">
        <f>"XTCH"&amp;B115</f>
        <v>XTCHBP511</v>
      </c>
      <c r="D115" s="7" t="s">
        <v>391</v>
      </c>
      <c r="E115" s="21" t="s">
        <v>453</v>
      </c>
      <c r="F115" s="24" t="s">
        <v>525</v>
      </c>
      <c r="H115" s="18" t="s">
        <v>577</v>
      </c>
    </row>
    <row r="116" spans="1:8" x14ac:dyDescent="0.25">
      <c r="A116" s="9" t="s">
        <v>50</v>
      </c>
      <c r="B116" s="10" t="str">
        <f>RIGHT(A116, LEN(A116)-2)</f>
        <v>BP70A</v>
      </c>
      <c r="C116" s="15" t="str">
        <f>"XTCH"&amp;B116</f>
        <v>XTCHBP70A</v>
      </c>
      <c r="D116" s="7" t="s">
        <v>392</v>
      </c>
      <c r="E116" s="21" t="s">
        <v>454</v>
      </c>
      <c r="F116" s="24" t="s">
        <v>526</v>
      </c>
      <c r="H116" s="18" t="s">
        <v>577</v>
      </c>
    </row>
    <row r="117" spans="1:8" x14ac:dyDescent="0.25">
      <c r="A117" s="9" t="s">
        <v>420</v>
      </c>
      <c r="B117" s="10" t="str">
        <f>RIGHT(A117, LEN(A117)-2)</f>
        <v>BP727</v>
      </c>
      <c r="C117" s="15" t="str">
        <f>"XTCH"&amp;B117</f>
        <v>XTCHBP727</v>
      </c>
      <c r="D117" s="7" t="s">
        <v>393</v>
      </c>
      <c r="E117" s="21" t="s">
        <v>455</v>
      </c>
      <c r="F117" s="24" t="s">
        <v>527</v>
      </c>
      <c r="H117" s="18" t="s">
        <v>577</v>
      </c>
    </row>
    <row r="118" spans="1:8" x14ac:dyDescent="0.25">
      <c r="A118" s="9" t="s">
        <v>56</v>
      </c>
      <c r="B118" s="10" t="str">
        <f>RIGHT(A118, LEN(A118)-2)</f>
        <v>BP819</v>
      </c>
      <c r="C118" s="15" t="str">
        <f>"XTCH"&amp;B118</f>
        <v>XTCHBP819</v>
      </c>
      <c r="D118" s="7" t="s">
        <v>394</v>
      </c>
      <c r="E118" s="21" t="s">
        <v>456</v>
      </c>
      <c r="F118" s="24" t="s">
        <v>528</v>
      </c>
      <c r="H118" s="18" t="s">
        <v>577</v>
      </c>
    </row>
    <row r="119" spans="1:8" x14ac:dyDescent="0.25">
      <c r="A119" s="9" t="s">
        <v>421</v>
      </c>
      <c r="B119" s="10" t="str">
        <f>RIGHT(A119, LEN(A119)-2)</f>
        <v>BP970</v>
      </c>
      <c r="C119" s="15" t="str">
        <f>"XTCH"&amp;B119</f>
        <v>XTCHBP970</v>
      </c>
      <c r="D119" s="7" t="s">
        <v>395</v>
      </c>
      <c r="E119" s="21" t="s">
        <v>457</v>
      </c>
      <c r="F119" s="24" t="s">
        <v>529</v>
      </c>
      <c r="H119" s="18" t="s">
        <v>577</v>
      </c>
    </row>
    <row r="120" spans="1:8" x14ac:dyDescent="0.25">
      <c r="A120" s="9" t="s">
        <v>422</v>
      </c>
      <c r="B120" s="10" t="str">
        <f>RIGHT(A120, LEN(A120)-2)</f>
        <v>BX1</v>
      </c>
      <c r="C120" s="15" t="str">
        <f>"XTCH"&amp;B120</f>
        <v>XTCHBX1</v>
      </c>
      <c r="D120" s="7" t="s">
        <v>396</v>
      </c>
      <c r="E120" s="21" t="s">
        <v>458</v>
      </c>
      <c r="F120" s="24" t="s">
        <v>530</v>
      </c>
      <c r="H120" s="18" t="s">
        <v>577</v>
      </c>
    </row>
    <row r="121" spans="1:8" x14ac:dyDescent="0.25">
      <c r="A121" s="9" t="s">
        <v>423</v>
      </c>
      <c r="B121" s="10" t="str">
        <f>RIGHT(A121, LEN(A121)-2)</f>
        <v>D54</v>
      </c>
      <c r="C121" s="15" t="str">
        <f>"XTCH"&amp;B121</f>
        <v>XTCHD54</v>
      </c>
      <c r="D121" s="7" t="s">
        <v>397</v>
      </c>
      <c r="E121" s="21" t="s">
        <v>459</v>
      </c>
      <c r="F121" s="24" t="s">
        <v>531</v>
      </c>
      <c r="H121" s="18" t="s">
        <v>577</v>
      </c>
    </row>
    <row r="122" spans="1:8" x14ac:dyDescent="0.25">
      <c r="A122" s="9" t="s">
        <v>67</v>
      </c>
      <c r="B122" s="10" t="str">
        <f>RIGHT(A122, LEN(A122)-2)</f>
        <v>ENEL12</v>
      </c>
      <c r="C122" s="15" t="str">
        <f>"XTCH"&amp;B122</f>
        <v>XTCHENEL12</v>
      </c>
      <c r="D122" s="7" t="s">
        <v>398</v>
      </c>
      <c r="E122" s="21" t="s">
        <v>460</v>
      </c>
      <c r="F122" s="24" t="s">
        <v>532</v>
      </c>
      <c r="H122" s="18" t="s">
        <v>577</v>
      </c>
    </row>
    <row r="123" spans="1:8" x14ac:dyDescent="0.25">
      <c r="A123" s="9" t="s">
        <v>68</v>
      </c>
      <c r="B123" s="10" t="str">
        <f>RIGHT(A123, LEN(A123)-2)</f>
        <v>ENEL14</v>
      </c>
      <c r="C123" s="15" t="str">
        <f>"XTCH"&amp;B123</f>
        <v>XTCHENEL14</v>
      </c>
      <c r="D123" s="7" t="s">
        <v>399</v>
      </c>
      <c r="E123" s="21" t="s">
        <v>461</v>
      </c>
      <c r="F123" s="24" t="s">
        <v>533</v>
      </c>
      <c r="H123" s="18" t="s">
        <v>577</v>
      </c>
    </row>
    <row r="124" spans="1:8" x14ac:dyDescent="0.25">
      <c r="A124" s="9" t="s">
        <v>69</v>
      </c>
      <c r="B124" s="10" t="str">
        <f>RIGHT(A124, LEN(A124)-2)</f>
        <v>ENEL15</v>
      </c>
      <c r="C124" s="15" t="str">
        <f>"XTCH"&amp;B124</f>
        <v>XTCHENEL15</v>
      </c>
      <c r="D124" s="7" t="s">
        <v>400</v>
      </c>
      <c r="E124" s="21" t="s">
        <v>462</v>
      </c>
      <c r="F124" s="24" t="s">
        <v>534</v>
      </c>
      <c r="H124" s="18" t="s">
        <v>577</v>
      </c>
    </row>
    <row r="125" spans="1:8" x14ac:dyDescent="0.25">
      <c r="A125" s="9" t="s">
        <v>70</v>
      </c>
      <c r="B125" s="10" t="str">
        <f>RIGHT(A125, LEN(A125)-2)</f>
        <v>ENEL19</v>
      </c>
      <c r="C125" s="15" t="str">
        <f>"XTCH"&amp;B125</f>
        <v>XTCHENEL19</v>
      </c>
      <c r="D125" s="7" t="s">
        <v>401</v>
      </c>
      <c r="E125" s="21" t="s">
        <v>463</v>
      </c>
      <c r="F125" s="24" t="s">
        <v>535</v>
      </c>
      <c r="H125" s="18" t="s">
        <v>577</v>
      </c>
    </row>
    <row r="126" spans="1:8" x14ac:dyDescent="0.25">
      <c r="A126" s="9" t="s">
        <v>71</v>
      </c>
      <c r="B126" s="10" t="str">
        <f>RIGHT(A126, LEN(A126)-2)</f>
        <v>ENEL20</v>
      </c>
      <c r="C126" s="15" t="str">
        <f>"XTCH"&amp;B126</f>
        <v>XTCHENEL20</v>
      </c>
      <c r="D126" s="7" t="s">
        <v>402</v>
      </c>
      <c r="E126" s="21" t="s">
        <v>464</v>
      </c>
      <c r="F126" s="24" t="s">
        <v>536</v>
      </c>
      <c r="H126" s="18" t="s">
        <v>577</v>
      </c>
    </row>
    <row r="127" spans="1:8" x14ac:dyDescent="0.25">
      <c r="A127" s="9" t="s">
        <v>72</v>
      </c>
      <c r="B127" s="10" t="str">
        <f>RIGHT(A127, LEN(A127)-2)</f>
        <v>ENEL21</v>
      </c>
      <c r="C127" s="15" t="str">
        <f>"XTCH"&amp;B127</f>
        <v>XTCHENEL21</v>
      </c>
      <c r="D127" s="7" t="s">
        <v>403</v>
      </c>
      <c r="E127" s="21" t="s">
        <v>465</v>
      </c>
      <c r="F127" s="24" t="s">
        <v>537</v>
      </c>
      <c r="H127" s="18" t="s">
        <v>577</v>
      </c>
    </row>
    <row r="128" spans="1:8" x14ac:dyDescent="0.25">
      <c r="A128" s="9" t="s">
        <v>101</v>
      </c>
      <c r="B128" s="10" t="str">
        <f>RIGHT(A128, LEN(A128)-2)</f>
        <v>ENEL23</v>
      </c>
      <c r="C128" s="15" t="str">
        <f>"XTCH"&amp;B128</f>
        <v>XTCHENEL23</v>
      </c>
      <c r="D128" s="7" t="s">
        <v>89</v>
      </c>
      <c r="E128" s="21" t="s">
        <v>466</v>
      </c>
      <c r="F128" s="24" t="s">
        <v>538</v>
      </c>
      <c r="H128" s="18" t="s">
        <v>577</v>
      </c>
    </row>
    <row r="129" spans="1:8" x14ac:dyDescent="0.25">
      <c r="A129" s="9" t="s">
        <v>424</v>
      </c>
      <c r="B129" s="10" t="str">
        <f>RIGHT(A129, LEN(A129)-2)</f>
        <v>ENEL24</v>
      </c>
      <c r="C129" s="15" t="str">
        <f>"XTCH"&amp;B129</f>
        <v>XTCHENEL24</v>
      </c>
      <c r="D129" s="7" t="s">
        <v>404</v>
      </c>
      <c r="E129" s="21" t="s">
        <v>467</v>
      </c>
      <c r="F129" s="24" t="s">
        <v>539</v>
      </c>
      <c r="H129" s="18" t="s">
        <v>577</v>
      </c>
    </row>
    <row r="130" spans="1:8" x14ac:dyDescent="0.25">
      <c r="A130" s="9" t="s">
        <v>64</v>
      </c>
      <c r="B130" s="10" t="str">
        <f>RIGHT(A130, LEN(A130)-2)</f>
        <v>ENEL3E</v>
      </c>
      <c r="C130" s="15" t="str">
        <f>"XTCH"&amp;B130</f>
        <v>XTCHENEL3E</v>
      </c>
      <c r="D130" s="7" t="s">
        <v>405</v>
      </c>
      <c r="E130" s="21" t="s">
        <v>468</v>
      </c>
      <c r="F130" s="24" t="s">
        <v>540</v>
      </c>
      <c r="H130" s="18" t="s">
        <v>577</v>
      </c>
    </row>
    <row r="131" spans="1:8" x14ac:dyDescent="0.25">
      <c r="A131" s="9" t="s">
        <v>65</v>
      </c>
      <c r="B131" s="10" t="str">
        <f>RIGHT(A131, LEN(A131)-2)</f>
        <v>ENEL5</v>
      </c>
      <c r="C131" s="15" t="str">
        <f>"XTCH"&amp;B131</f>
        <v>XTCHENEL5</v>
      </c>
      <c r="D131" s="7" t="s">
        <v>406</v>
      </c>
      <c r="E131" s="21" t="s">
        <v>469</v>
      </c>
      <c r="F131" s="24" t="s">
        <v>541</v>
      </c>
      <c r="H131" s="18" t="s">
        <v>577</v>
      </c>
    </row>
    <row r="132" spans="1:8" x14ac:dyDescent="0.25">
      <c r="A132" s="9" t="s">
        <v>66</v>
      </c>
      <c r="B132" s="10" t="str">
        <f>RIGHT(A132, LEN(A132)-2)</f>
        <v>ENEL8</v>
      </c>
      <c r="C132" s="15" t="str">
        <f>"XTCH"&amp;B132</f>
        <v>XTCHENEL8</v>
      </c>
      <c r="D132" s="7" t="s">
        <v>143</v>
      </c>
      <c r="E132" s="21" t="s">
        <v>470</v>
      </c>
      <c r="F132" s="24" t="s">
        <v>542</v>
      </c>
      <c r="H132" s="18" t="s">
        <v>577</v>
      </c>
    </row>
    <row r="133" spans="1:8" x14ac:dyDescent="0.25">
      <c r="A133" s="9" t="s">
        <v>96</v>
      </c>
      <c r="B133" s="10" t="str">
        <f t="shared" ref="B133:B173" si="4">RIGHT(A133, LEN(A133)-2)</f>
        <v>ENEL9</v>
      </c>
      <c r="C133" s="15" t="str">
        <f t="shared" ref="C133:C173" si="5">"XTCH"&amp;B133</f>
        <v>XTCHENEL9</v>
      </c>
      <c r="D133" s="7" t="s">
        <v>144</v>
      </c>
      <c r="E133" s="21" t="s">
        <v>471</v>
      </c>
      <c r="F133" s="24" t="s">
        <v>543</v>
      </c>
      <c r="H133" s="18" t="s">
        <v>577</v>
      </c>
    </row>
    <row r="134" spans="1:8" x14ac:dyDescent="0.25">
      <c r="A134" s="9" t="s">
        <v>425</v>
      </c>
      <c r="B134" s="10" t="str">
        <f t="shared" si="4"/>
        <v>FG1</v>
      </c>
      <c r="C134" s="15" t="str">
        <f t="shared" si="5"/>
        <v>XTCHFG1</v>
      </c>
      <c r="D134" s="7" t="s">
        <v>407</v>
      </c>
      <c r="E134" s="21" t="s">
        <v>472</v>
      </c>
      <c r="F134" s="24" t="s">
        <v>544</v>
      </c>
      <c r="H134" s="18" t="s">
        <v>577</v>
      </c>
    </row>
    <row r="135" spans="1:8" x14ac:dyDescent="0.25">
      <c r="A135" s="9" t="s">
        <v>426</v>
      </c>
      <c r="B135" s="10" t="str">
        <f t="shared" si="4"/>
        <v>FV50</v>
      </c>
      <c r="C135" s="15" t="str">
        <f t="shared" si="5"/>
        <v>XTCHFV50</v>
      </c>
      <c r="D135" s="7" t="s">
        <v>408</v>
      </c>
      <c r="E135" s="21" t="s">
        <v>473</v>
      </c>
      <c r="F135" s="24" t="s">
        <v>545</v>
      </c>
      <c r="H135" s="18" t="s">
        <v>577</v>
      </c>
    </row>
    <row r="136" spans="1:8" x14ac:dyDescent="0.25">
      <c r="A136" s="9" t="s">
        <v>427</v>
      </c>
      <c r="B136" s="10" t="str">
        <f t="shared" si="4"/>
        <v>FW50</v>
      </c>
      <c r="C136" s="15" t="str">
        <f t="shared" si="5"/>
        <v>XTCHFW50</v>
      </c>
      <c r="D136" s="7" t="s">
        <v>409</v>
      </c>
      <c r="E136" s="21" t="s">
        <v>474</v>
      </c>
      <c r="F136" s="24" t="s">
        <v>546</v>
      </c>
      <c r="H136" s="18" t="s">
        <v>577</v>
      </c>
    </row>
    <row r="137" spans="1:8" x14ac:dyDescent="0.25">
      <c r="A137" s="9" t="s">
        <v>428</v>
      </c>
      <c r="B137" s="10" t="str">
        <f t="shared" si="4"/>
        <v>GPDUAL</v>
      </c>
      <c r="C137" s="15" t="str">
        <f t="shared" si="5"/>
        <v>XTCHGPDUAL</v>
      </c>
      <c r="D137" s="7" t="s">
        <v>410</v>
      </c>
      <c r="E137" s="21" t="s">
        <v>475</v>
      </c>
      <c r="F137" s="24" t="s">
        <v>547</v>
      </c>
      <c r="H137" s="18" t="s">
        <v>577</v>
      </c>
    </row>
    <row r="138" spans="1:8" x14ac:dyDescent="0.25">
      <c r="A138" s="9" t="s">
        <v>429</v>
      </c>
      <c r="B138" s="10" t="str">
        <f t="shared" si="4"/>
        <v>GPDUAL4</v>
      </c>
      <c r="C138" s="15" t="str">
        <f t="shared" si="5"/>
        <v>XTCHGPDUAL4</v>
      </c>
      <c r="D138" s="7" t="s">
        <v>411</v>
      </c>
      <c r="E138" s="21" t="s">
        <v>476</v>
      </c>
      <c r="F138" s="24" t="s">
        <v>548</v>
      </c>
      <c r="H138" s="18" t="s">
        <v>577</v>
      </c>
    </row>
    <row r="139" spans="1:8" x14ac:dyDescent="0.25">
      <c r="A139" s="9" t="s">
        <v>73</v>
      </c>
      <c r="B139" s="10" t="str">
        <f t="shared" si="4"/>
        <v>GPH3</v>
      </c>
      <c r="C139" s="15" t="str">
        <f t="shared" si="5"/>
        <v>XTCHGPH3</v>
      </c>
      <c r="D139" s="7" t="s">
        <v>145</v>
      </c>
      <c r="E139" s="21" t="s">
        <v>477</v>
      </c>
      <c r="F139" s="24" t="s">
        <v>547</v>
      </c>
      <c r="H139" s="18" t="s">
        <v>577</v>
      </c>
    </row>
    <row r="140" spans="1:8" x14ac:dyDescent="0.25">
      <c r="A140" s="9" t="s">
        <v>430</v>
      </c>
      <c r="B140" s="10" t="str">
        <f t="shared" si="4"/>
        <v>GPH4</v>
      </c>
      <c r="C140" s="15" t="str">
        <f t="shared" si="5"/>
        <v>XTCHGPH4</v>
      </c>
      <c r="D140" s="7" t="s">
        <v>412</v>
      </c>
      <c r="E140" s="21" t="s">
        <v>476</v>
      </c>
      <c r="F140" s="24" t="s">
        <v>548</v>
      </c>
      <c r="H140" s="18" t="s">
        <v>577</v>
      </c>
    </row>
    <row r="141" spans="1:8" x14ac:dyDescent="0.25">
      <c r="A141" s="9" t="s">
        <v>79</v>
      </c>
      <c r="B141" s="10" t="str">
        <f t="shared" si="4"/>
        <v>LI109</v>
      </c>
      <c r="C141" s="15" t="str">
        <f t="shared" si="5"/>
        <v>XTCHLI109</v>
      </c>
      <c r="D141" s="7" t="s">
        <v>146</v>
      </c>
      <c r="E141" s="21" t="s">
        <v>478</v>
      </c>
      <c r="F141" s="24" t="s">
        <v>549</v>
      </c>
      <c r="H141" s="18" t="s">
        <v>577</v>
      </c>
    </row>
    <row r="142" spans="1:8" x14ac:dyDescent="0.25">
      <c r="A142" s="9" t="s">
        <v>74</v>
      </c>
      <c r="B142" s="10" t="str">
        <f t="shared" si="4"/>
        <v>LI42B</v>
      </c>
      <c r="C142" s="15" t="str">
        <f t="shared" si="5"/>
        <v>XTCHLI42B</v>
      </c>
      <c r="D142" s="7" t="s">
        <v>413</v>
      </c>
      <c r="E142" s="21" t="s">
        <v>479</v>
      </c>
      <c r="F142" s="24" t="s">
        <v>550</v>
      </c>
      <c r="H142" s="18" t="s">
        <v>577</v>
      </c>
    </row>
    <row r="143" spans="1:8" x14ac:dyDescent="0.25">
      <c r="A143" s="9" t="s">
        <v>75</v>
      </c>
      <c r="B143" s="10" t="str">
        <f t="shared" si="4"/>
        <v>LI50B</v>
      </c>
      <c r="C143" s="15" t="str">
        <f t="shared" si="5"/>
        <v>XTCHLI50B</v>
      </c>
      <c r="D143" s="7" t="s">
        <v>148</v>
      </c>
      <c r="E143" s="21" t="s">
        <v>480</v>
      </c>
      <c r="F143" s="24" t="s">
        <v>551</v>
      </c>
      <c r="H143" s="18" t="s">
        <v>577</v>
      </c>
    </row>
    <row r="144" spans="1:8" x14ac:dyDescent="0.25">
      <c r="A144" s="9" t="s">
        <v>76</v>
      </c>
      <c r="B144" s="10" t="str">
        <f t="shared" si="4"/>
        <v>LI70B</v>
      </c>
      <c r="C144" s="15" t="str">
        <f t="shared" si="5"/>
        <v>XTCHLI70B</v>
      </c>
      <c r="D144" s="7" t="s">
        <v>149</v>
      </c>
      <c r="E144" s="21" t="s">
        <v>481</v>
      </c>
      <c r="F144" s="24" t="s">
        <v>552</v>
      </c>
      <c r="H144" s="18" t="s">
        <v>577</v>
      </c>
    </row>
    <row r="145" spans="1:8" x14ac:dyDescent="0.25">
      <c r="A145" s="9" t="s">
        <v>77</v>
      </c>
      <c r="B145" s="10" t="str">
        <f t="shared" si="4"/>
        <v>LI90</v>
      </c>
      <c r="C145" s="15" t="str">
        <f t="shared" si="5"/>
        <v>XTCHLI90</v>
      </c>
      <c r="D145" s="7" t="s">
        <v>150</v>
      </c>
      <c r="E145" s="21" t="s">
        <v>482</v>
      </c>
      <c r="F145" s="24" t="s">
        <v>553</v>
      </c>
      <c r="H145" s="18" t="s">
        <v>577</v>
      </c>
    </row>
    <row r="146" spans="1:8" x14ac:dyDescent="0.25">
      <c r="A146" s="9" t="s">
        <v>78</v>
      </c>
      <c r="B146" s="10" t="str">
        <f t="shared" si="4"/>
        <v>LI90B</v>
      </c>
      <c r="C146" s="15" t="str">
        <f t="shared" si="5"/>
        <v>XTCHLI90B</v>
      </c>
      <c r="D146" s="7" t="s">
        <v>151</v>
      </c>
      <c r="E146" s="21" t="s">
        <v>482</v>
      </c>
      <c r="F146" s="24" t="s">
        <v>553</v>
      </c>
      <c r="H146" s="18" t="s">
        <v>577</v>
      </c>
    </row>
    <row r="147" spans="1:8" x14ac:dyDescent="0.25">
      <c r="A147" s="9" t="s">
        <v>82</v>
      </c>
      <c r="B147" s="10" t="str">
        <f t="shared" si="4"/>
        <v>LPE10</v>
      </c>
      <c r="C147" s="15" t="str">
        <f t="shared" si="5"/>
        <v>XTCHLPE10</v>
      </c>
      <c r="D147" s="7" t="s">
        <v>152</v>
      </c>
      <c r="E147" s="21" t="s">
        <v>483</v>
      </c>
      <c r="F147" s="24" t="s">
        <v>554</v>
      </c>
      <c r="H147" s="18" t="s">
        <v>577</v>
      </c>
    </row>
    <row r="148" spans="1:8" x14ac:dyDescent="0.25">
      <c r="A148" s="9" t="s">
        <v>83</v>
      </c>
      <c r="B148" s="10" t="str">
        <f t="shared" si="4"/>
        <v>LPE12</v>
      </c>
      <c r="C148" s="15" t="str">
        <f t="shared" si="5"/>
        <v>XTCHLPE12</v>
      </c>
      <c r="D148" s="7" t="s">
        <v>153</v>
      </c>
      <c r="E148" s="21" t="s">
        <v>484</v>
      </c>
      <c r="F148" s="24" t="s">
        <v>555</v>
      </c>
      <c r="H148" s="18" t="s">
        <v>577</v>
      </c>
    </row>
    <row r="149" spans="1:8" x14ac:dyDescent="0.25">
      <c r="A149" s="9" t="s">
        <v>93</v>
      </c>
      <c r="B149" s="10" t="str">
        <f t="shared" si="4"/>
        <v>LPE5</v>
      </c>
      <c r="C149" s="15" t="str">
        <f t="shared" si="5"/>
        <v>XTCHLPE5</v>
      </c>
      <c r="D149" s="7" t="s">
        <v>154</v>
      </c>
      <c r="E149" s="21" t="s">
        <v>485</v>
      </c>
      <c r="F149" s="24" t="s">
        <v>556</v>
      </c>
      <c r="H149" s="18" t="s">
        <v>577</v>
      </c>
    </row>
    <row r="150" spans="1:8" x14ac:dyDescent="0.25">
      <c r="A150" s="9" t="s">
        <v>80</v>
      </c>
      <c r="B150" s="10" t="str">
        <f t="shared" si="4"/>
        <v>LPE6</v>
      </c>
      <c r="C150" s="15" t="str">
        <f t="shared" si="5"/>
        <v>XTCHLPE6</v>
      </c>
      <c r="D150" s="7" t="s">
        <v>155</v>
      </c>
      <c r="E150" s="21" t="s">
        <v>486</v>
      </c>
      <c r="F150" s="24" t="s">
        <v>557</v>
      </c>
      <c r="H150" s="18" t="s">
        <v>577</v>
      </c>
    </row>
    <row r="151" spans="1:8" x14ac:dyDescent="0.25">
      <c r="A151" s="9" t="s">
        <v>81</v>
      </c>
      <c r="B151" s="10" t="str">
        <f t="shared" si="4"/>
        <v>LPE8</v>
      </c>
      <c r="C151" s="15" t="str">
        <f t="shared" si="5"/>
        <v>XTCHLPE8</v>
      </c>
      <c r="D151" s="7" t="s">
        <v>156</v>
      </c>
      <c r="E151" s="21" t="s">
        <v>487</v>
      </c>
      <c r="F151" s="24" t="s">
        <v>558</v>
      </c>
      <c r="H151" s="18" t="s">
        <v>577</v>
      </c>
    </row>
    <row r="152" spans="1:8" x14ac:dyDescent="0.25">
      <c r="A152" s="9" t="s">
        <v>102</v>
      </c>
      <c r="B152" s="10" t="str">
        <f t="shared" si="4"/>
        <v>NB10L</v>
      </c>
      <c r="C152" s="15" t="str">
        <f t="shared" si="5"/>
        <v>XTCHNB10L</v>
      </c>
      <c r="D152" s="7" t="s">
        <v>27</v>
      </c>
      <c r="E152" s="21" t="s">
        <v>488</v>
      </c>
      <c r="F152" s="24" t="s">
        <v>559</v>
      </c>
      <c r="H152" s="18" t="s">
        <v>577</v>
      </c>
    </row>
    <row r="153" spans="1:8" x14ac:dyDescent="0.25">
      <c r="A153" s="9" t="s">
        <v>103</v>
      </c>
      <c r="B153" s="10" t="str">
        <f t="shared" si="4"/>
        <v>NB11L</v>
      </c>
      <c r="C153" s="15" t="str">
        <f t="shared" si="5"/>
        <v>XTCHNB11L</v>
      </c>
      <c r="D153" s="7" t="s">
        <v>26</v>
      </c>
      <c r="E153" s="21" t="s">
        <v>489</v>
      </c>
      <c r="F153" s="24" t="s">
        <v>560</v>
      </c>
      <c r="H153" s="18" t="s">
        <v>577</v>
      </c>
    </row>
    <row r="154" spans="1:8" x14ac:dyDescent="0.25">
      <c r="A154" s="9" t="s">
        <v>431</v>
      </c>
      <c r="B154" s="10" t="str">
        <f t="shared" si="4"/>
        <v>NB12L</v>
      </c>
      <c r="C154" s="15" t="str">
        <f t="shared" si="5"/>
        <v>XTCHNB12L</v>
      </c>
      <c r="D154" s="7" t="s">
        <v>414</v>
      </c>
      <c r="E154" s="21" t="s">
        <v>490</v>
      </c>
      <c r="F154" s="24" t="s">
        <v>561</v>
      </c>
      <c r="H154" s="18" t="s">
        <v>577</v>
      </c>
    </row>
    <row r="155" spans="1:8" x14ac:dyDescent="0.25">
      <c r="A155" s="9" t="s">
        <v>104</v>
      </c>
      <c r="B155" s="10" t="str">
        <f t="shared" si="4"/>
        <v>NB2LH</v>
      </c>
      <c r="C155" s="15" t="str">
        <f t="shared" si="5"/>
        <v>XTCHNB2LH</v>
      </c>
      <c r="D155" s="7" t="s">
        <v>18</v>
      </c>
      <c r="E155" s="21" t="s">
        <v>473</v>
      </c>
      <c r="F155" s="24" t="s">
        <v>562</v>
      </c>
      <c r="H155" s="18" t="s">
        <v>577</v>
      </c>
    </row>
    <row r="156" spans="1:8" x14ac:dyDescent="0.25">
      <c r="A156" s="9" t="s">
        <v>105</v>
      </c>
      <c r="B156" s="10" t="str">
        <f t="shared" si="4"/>
        <v>NB4L</v>
      </c>
      <c r="C156" s="15" t="str">
        <f t="shared" si="5"/>
        <v>XTCHNB4L</v>
      </c>
      <c r="D156" s="7" t="s">
        <v>32</v>
      </c>
      <c r="E156" s="21" t="s">
        <v>491</v>
      </c>
      <c r="F156" s="24" t="s">
        <v>563</v>
      </c>
      <c r="H156" s="18" t="s">
        <v>577</v>
      </c>
    </row>
    <row r="157" spans="1:8" x14ac:dyDescent="0.25">
      <c r="A157" s="9" t="s">
        <v>106</v>
      </c>
      <c r="B157" s="10" t="str">
        <f t="shared" si="4"/>
        <v>NB5L</v>
      </c>
      <c r="C157" s="15" t="str">
        <f t="shared" si="5"/>
        <v>XTCHNB5L</v>
      </c>
      <c r="D157" s="7" t="s">
        <v>31</v>
      </c>
      <c r="E157" s="21" t="s">
        <v>492</v>
      </c>
      <c r="F157" s="24" t="s">
        <v>564</v>
      </c>
      <c r="H157" s="18" t="s">
        <v>577</v>
      </c>
    </row>
    <row r="158" spans="1:8" x14ac:dyDescent="0.25">
      <c r="A158" s="9" t="s">
        <v>107</v>
      </c>
      <c r="B158" s="10" t="str">
        <f t="shared" si="4"/>
        <v>NB6L</v>
      </c>
      <c r="C158" s="15" t="str">
        <f t="shared" si="5"/>
        <v>XTCHNB6L</v>
      </c>
      <c r="D158" s="7" t="s">
        <v>30</v>
      </c>
      <c r="E158" s="21" t="s">
        <v>493</v>
      </c>
      <c r="F158" s="24" t="s">
        <v>565</v>
      </c>
      <c r="H158" s="18" t="s">
        <v>577</v>
      </c>
    </row>
    <row r="159" spans="1:8" x14ac:dyDescent="0.25">
      <c r="A159" s="9" t="s">
        <v>108</v>
      </c>
      <c r="B159" s="10" t="str">
        <f t="shared" si="4"/>
        <v>NB7L</v>
      </c>
      <c r="C159" s="15" t="str">
        <f t="shared" si="5"/>
        <v>XTCHNB7L</v>
      </c>
      <c r="D159" s="7" t="s">
        <v>29</v>
      </c>
      <c r="E159" s="21" t="s">
        <v>494</v>
      </c>
      <c r="F159" s="24" t="s">
        <v>566</v>
      </c>
      <c r="H159" s="18" t="s">
        <v>577</v>
      </c>
    </row>
    <row r="160" spans="1:8" x14ac:dyDescent="0.25">
      <c r="A160" s="9" t="s">
        <v>109</v>
      </c>
      <c r="B160" s="10" t="str">
        <f t="shared" si="4"/>
        <v>NB8L</v>
      </c>
      <c r="C160" s="15" t="str">
        <f t="shared" si="5"/>
        <v>XTCHNB8L</v>
      </c>
      <c r="D160" s="7" t="s">
        <v>92</v>
      </c>
      <c r="E160" s="21" t="s">
        <v>495</v>
      </c>
      <c r="F160" s="24" t="s">
        <v>567</v>
      </c>
      <c r="H160" s="18" t="s">
        <v>577</v>
      </c>
    </row>
    <row r="161" spans="1:8" x14ac:dyDescent="0.25">
      <c r="A161" s="9" t="s">
        <v>110</v>
      </c>
      <c r="B161" s="10" t="str">
        <f t="shared" si="4"/>
        <v>NB9L</v>
      </c>
      <c r="C161" s="15" t="str">
        <f t="shared" si="5"/>
        <v>XTCHNB9L</v>
      </c>
      <c r="D161" s="7" t="s">
        <v>28</v>
      </c>
      <c r="E161" s="21" t="s">
        <v>496</v>
      </c>
      <c r="F161" s="24" t="s">
        <v>568</v>
      </c>
      <c r="H161" s="18" t="s">
        <v>577</v>
      </c>
    </row>
    <row r="162" spans="1:8" x14ac:dyDescent="0.25">
      <c r="A162" s="9" t="s">
        <v>111</v>
      </c>
      <c r="B162" s="10" t="str">
        <f t="shared" si="4"/>
        <v>NP45</v>
      </c>
      <c r="C162" s="15" t="str">
        <f t="shared" si="5"/>
        <v>XTCHNP45</v>
      </c>
      <c r="D162" s="7" t="s">
        <v>25</v>
      </c>
      <c r="E162" s="21" t="s">
        <v>497</v>
      </c>
      <c r="F162" s="24" t="s">
        <v>569</v>
      </c>
      <c r="H162" s="18" t="s">
        <v>577</v>
      </c>
    </row>
    <row r="163" spans="1:8" x14ac:dyDescent="0.25">
      <c r="A163" s="9" t="s">
        <v>113</v>
      </c>
      <c r="B163" s="10" t="str">
        <f t="shared" si="4"/>
        <v>NP50</v>
      </c>
      <c r="C163" s="15" t="str">
        <f t="shared" si="5"/>
        <v>XTCHNP50</v>
      </c>
      <c r="D163" s="7" t="s">
        <v>24</v>
      </c>
      <c r="E163" s="21" t="s">
        <v>498</v>
      </c>
      <c r="F163" s="24" t="s">
        <v>570</v>
      </c>
      <c r="H163" s="18" t="s">
        <v>577</v>
      </c>
    </row>
    <row r="164" spans="1:8" x14ac:dyDescent="0.25">
      <c r="A164" s="9" t="s">
        <v>114</v>
      </c>
      <c r="B164" s="10" t="str">
        <f t="shared" si="4"/>
        <v>NP85</v>
      </c>
      <c r="C164" s="15" t="str">
        <f t="shared" si="5"/>
        <v>XTCHNP85</v>
      </c>
      <c r="D164" s="7" t="s">
        <v>23</v>
      </c>
      <c r="E164" s="21" t="s">
        <v>499</v>
      </c>
      <c r="F164" s="24" t="s">
        <v>571</v>
      </c>
      <c r="H164" s="18" t="s">
        <v>577</v>
      </c>
    </row>
    <row r="165" spans="1:8" x14ac:dyDescent="0.25">
      <c r="A165" s="9" t="s">
        <v>115</v>
      </c>
      <c r="B165" s="10" t="str">
        <f t="shared" si="4"/>
        <v>NP95</v>
      </c>
      <c r="C165" s="15" t="str">
        <f t="shared" si="5"/>
        <v>XTCHNP95</v>
      </c>
      <c r="D165" s="7" t="s">
        <v>22</v>
      </c>
      <c r="E165" s="21" t="s">
        <v>500</v>
      </c>
      <c r="F165" s="24" t="s">
        <v>572</v>
      </c>
      <c r="H165" s="18" t="s">
        <v>577</v>
      </c>
    </row>
    <row r="166" spans="1:8" x14ac:dyDescent="0.25">
      <c r="A166" s="9" t="s">
        <v>432</v>
      </c>
      <c r="B166" s="10" t="str">
        <f t="shared" si="4"/>
        <v>NPBY1</v>
      </c>
      <c r="C166" s="15" t="str">
        <f t="shared" si="5"/>
        <v>XTCHNPBY1</v>
      </c>
      <c r="D166" s="7" t="s">
        <v>415</v>
      </c>
      <c r="H166" s="18" t="s">
        <v>577</v>
      </c>
    </row>
    <row r="167" spans="1:8" x14ac:dyDescent="0.25">
      <c r="A167" s="9" t="s">
        <v>119</v>
      </c>
      <c r="B167" s="10" t="str">
        <f t="shared" si="4"/>
        <v>NPF975</v>
      </c>
      <c r="C167" s="15" t="str">
        <f t="shared" si="5"/>
        <v>XTCHNPF975</v>
      </c>
      <c r="D167" s="7" t="s">
        <v>0</v>
      </c>
      <c r="H167" s="18" t="s">
        <v>577</v>
      </c>
    </row>
    <row r="168" spans="1:8" x14ac:dyDescent="0.25">
      <c r="A168" s="9" t="s">
        <v>126</v>
      </c>
      <c r="B168" s="10" t="str">
        <f t="shared" si="4"/>
        <v>NPW126</v>
      </c>
      <c r="C168" s="15" t="str">
        <f t="shared" si="5"/>
        <v>XTCHNPW126</v>
      </c>
      <c r="D168" s="7" t="s">
        <v>14</v>
      </c>
      <c r="E168" s="21" t="s">
        <v>501</v>
      </c>
      <c r="F168" s="24" t="s">
        <v>573</v>
      </c>
      <c r="H168" s="18" t="s">
        <v>577</v>
      </c>
    </row>
    <row r="169" spans="1:8" x14ac:dyDescent="0.25">
      <c r="A169" s="9" t="s">
        <v>127</v>
      </c>
      <c r="B169" s="10" t="str">
        <f t="shared" si="4"/>
        <v>SLB10A</v>
      </c>
      <c r="C169" s="15" t="str">
        <f t="shared" si="5"/>
        <v>XTCHSLB10A</v>
      </c>
      <c r="D169" s="7" t="s">
        <v>33</v>
      </c>
      <c r="H169" s="18" t="s">
        <v>577</v>
      </c>
    </row>
    <row r="170" spans="1:8" x14ac:dyDescent="0.25">
      <c r="A170" s="9" t="s">
        <v>433</v>
      </c>
      <c r="B170" s="10" t="str">
        <f t="shared" si="4"/>
        <v>VBG</v>
      </c>
      <c r="C170" s="15" t="str">
        <f t="shared" si="5"/>
        <v>XTCHVBG</v>
      </c>
      <c r="D170" s="7" t="s">
        <v>416</v>
      </c>
      <c r="H170" s="18" t="s">
        <v>577</v>
      </c>
    </row>
    <row r="171" spans="1:8" x14ac:dyDescent="0.25">
      <c r="A171" s="9" t="s">
        <v>130</v>
      </c>
      <c r="B171" s="10" t="str">
        <f t="shared" si="4"/>
        <v>VBK180</v>
      </c>
      <c r="C171" s="15" t="str">
        <f t="shared" si="5"/>
        <v>XTCHVBK180</v>
      </c>
      <c r="D171" s="7" t="s">
        <v>10</v>
      </c>
      <c r="E171" s="21" t="s">
        <v>502</v>
      </c>
      <c r="F171" s="24" t="s">
        <v>574</v>
      </c>
      <c r="H171" s="18" t="s">
        <v>577</v>
      </c>
    </row>
    <row r="172" spans="1:8" x14ac:dyDescent="0.25">
      <c r="A172" s="9" t="s">
        <v>132</v>
      </c>
      <c r="B172" s="10" t="str">
        <f t="shared" si="4"/>
        <v>VBN130</v>
      </c>
      <c r="C172" s="15" t="str">
        <f t="shared" si="5"/>
        <v>XTCHVBN130</v>
      </c>
      <c r="D172" s="7" t="s">
        <v>9</v>
      </c>
      <c r="E172" s="21" t="s">
        <v>503</v>
      </c>
      <c r="F172" s="24" t="s">
        <v>575</v>
      </c>
      <c r="H172" s="18" t="s">
        <v>577</v>
      </c>
    </row>
    <row r="173" spans="1:8" x14ac:dyDescent="0.25">
      <c r="A173" s="9" t="s">
        <v>134</v>
      </c>
      <c r="B173" s="10" t="str">
        <f t="shared" si="4"/>
        <v>VF815</v>
      </c>
      <c r="C173" s="15" t="str">
        <f t="shared" si="5"/>
        <v>XTCHVF815</v>
      </c>
      <c r="D173" s="7" t="s">
        <v>7</v>
      </c>
      <c r="E173" s="21" t="s">
        <v>504</v>
      </c>
      <c r="F173" s="24" t="s">
        <v>576</v>
      </c>
      <c r="H173" s="18" t="s">
        <v>577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9"/>
  <sheetViews>
    <sheetView tabSelected="1" workbookViewId="0">
      <pane ySplit="1" topLeftCell="A2" activePane="bottomLeft" state="frozen"/>
      <selection pane="bottomLeft" activeCell="A13" sqref="A13"/>
    </sheetView>
  </sheetViews>
  <sheetFormatPr defaultRowHeight="16.5" thickTop="1" thickBottom="1" x14ac:dyDescent="0.3"/>
  <cols>
    <col min="1" max="1" width="13.140625" style="33" bestFit="1" customWidth="1"/>
    <col min="2" max="2" width="17.85546875" style="36" bestFit="1" customWidth="1"/>
    <col min="3" max="3" width="13" style="15" bestFit="1" customWidth="1"/>
    <col min="4" max="4" width="75" style="7" customWidth="1"/>
    <col min="5" max="5" width="23.42578125" customWidth="1"/>
    <col min="6" max="6" width="28.42578125" style="25" bestFit="1" customWidth="1"/>
    <col min="7" max="7" width="21.85546875" style="43" customWidth="1"/>
    <col min="8" max="8" width="15.85546875" style="43" customWidth="1"/>
    <col min="10" max="10" width="8.42578125" bestFit="1" customWidth="1"/>
  </cols>
  <sheetData>
    <row r="1" spans="1:9" s="29" customFormat="1" ht="17.25" thickTop="1" thickBot="1" x14ac:dyDescent="0.3">
      <c r="A1" s="30" t="s">
        <v>611</v>
      </c>
      <c r="B1" s="34" t="s">
        <v>666</v>
      </c>
      <c r="C1" s="37" t="s">
        <v>612</v>
      </c>
      <c r="D1" s="44" t="s">
        <v>157</v>
      </c>
      <c r="E1" s="25" t="s">
        <v>613</v>
      </c>
      <c r="F1" s="40" t="s">
        <v>663</v>
      </c>
      <c r="G1" s="40" t="s">
        <v>664</v>
      </c>
      <c r="I1" s="29" t="s">
        <v>665</v>
      </c>
    </row>
    <row r="2" spans="1:9" thickTop="1" thickBot="1" x14ac:dyDescent="0.3">
      <c r="A2" s="45" t="s">
        <v>294</v>
      </c>
      <c r="B2" s="35" t="s">
        <v>372</v>
      </c>
      <c r="C2" s="38" t="s">
        <v>35</v>
      </c>
      <c r="D2" s="7" t="s">
        <v>683</v>
      </c>
      <c r="E2" s="25" t="s">
        <v>614</v>
      </c>
      <c r="F2" s="41" t="s">
        <v>434</v>
      </c>
      <c r="G2" s="41" t="s">
        <v>506</v>
      </c>
      <c r="H2"/>
      <c r="I2" t="str">
        <f>CONCATENATE(G2," ",F2)</f>
        <v xml:space="preserve"> DE-A65 DE-A66 DEA65 DEA66</v>
      </c>
    </row>
    <row r="3" spans="1:9" thickTop="1" thickBot="1" x14ac:dyDescent="0.3">
      <c r="A3" s="45" t="s">
        <v>295</v>
      </c>
      <c r="B3" s="35" t="s">
        <v>373</v>
      </c>
      <c r="C3" s="38" t="s">
        <v>417</v>
      </c>
      <c r="D3" s="7" t="s">
        <v>682</v>
      </c>
      <c r="E3" s="25" t="s">
        <v>614</v>
      </c>
      <c r="F3" s="41" t="s">
        <v>435</v>
      </c>
      <c r="G3" s="41" t="s">
        <v>507</v>
      </c>
      <c r="H3"/>
      <c r="I3" t="str">
        <f t="shared" ref="I3:I66" si="0">CONCATENATE(G3," ",F3)</f>
        <v xml:space="preserve"> DE-A75B DEA75B</v>
      </c>
    </row>
    <row r="4" spans="1:9" thickTop="1" thickBot="1" x14ac:dyDescent="0.3">
      <c r="A4" s="45" t="s">
        <v>296</v>
      </c>
      <c r="B4" s="35" t="s">
        <v>374</v>
      </c>
      <c r="C4" s="38" t="s">
        <v>37</v>
      </c>
      <c r="D4" s="7" t="s">
        <v>680</v>
      </c>
      <c r="E4" s="25" t="s">
        <v>614</v>
      </c>
      <c r="F4" s="41" t="s">
        <v>436</v>
      </c>
      <c r="G4" s="41" t="s">
        <v>508</v>
      </c>
      <c r="H4"/>
      <c r="I4" t="str">
        <f t="shared" si="0"/>
        <v xml:space="preserve"> DE-A81 DMW-BTC5 DEA81 DMWBTC5</v>
      </c>
    </row>
    <row r="5" spans="1:9" thickTop="1" thickBot="1" x14ac:dyDescent="0.3">
      <c r="A5" s="45" t="s">
        <v>297</v>
      </c>
      <c r="B5" s="35" t="s">
        <v>375</v>
      </c>
      <c r="C5" s="38" t="s">
        <v>38</v>
      </c>
      <c r="D5" s="7" t="s">
        <v>679</v>
      </c>
      <c r="E5" s="25" t="s">
        <v>614</v>
      </c>
      <c r="F5" s="41" t="s">
        <v>437</v>
      </c>
      <c r="G5" s="41" t="s">
        <v>509</v>
      </c>
      <c r="H5"/>
      <c r="I5" t="str">
        <f t="shared" si="0"/>
        <v xml:space="preserve"> DE-A91A DE-A91B NCA-YN101G DMW-BTC8 DEA91A DEA91B NCAYN101G DMWBTC8</v>
      </c>
    </row>
    <row r="6" spans="1:9" thickTop="1" thickBot="1" x14ac:dyDescent="0.3">
      <c r="A6" s="45" t="s">
        <v>298</v>
      </c>
      <c r="B6" s="35" t="s">
        <v>376</v>
      </c>
      <c r="C6" s="38" t="s">
        <v>39</v>
      </c>
      <c r="D6" s="7" t="s">
        <v>681</v>
      </c>
      <c r="E6" s="25" t="s">
        <v>614</v>
      </c>
      <c r="F6" s="41" t="s">
        <v>438</v>
      </c>
      <c r="G6" s="41" t="s">
        <v>510</v>
      </c>
      <c r="H6"/>
      <c r="I6" t="str">
        <f t="shared" si="0"/>
        <v xml:space="preserve"> DE-A91A DE-A91B DMW-BTC8 NCA-YN101G  DEA91A DEA91B DMWBTC8 NCAYN101G </v>
      </c>
    </row>
    <row r="7" spans="1:9" thickTop="1" thickBot="1" x14ac:dyDescent="0.3">
      <c r="A7" s="45" t="s">
        <v>299</v>
      </c>
      <c r="B7" s="35" t="s">
        <v>377</v>
      </c>
      <c r="C7" s="38" t="s">
        <v>40</v>
      </c>
      <c r="D7" s="7" t="s">
        <v>678</v>
      </c>
      <c r="E7" s="25" t="s">
        <v>614</v>
      </c>
      <c r="F7" s="41" t="s">
        <v>439</v>
      </c>
      <c r="G7" s="41" t="s">
        <v>511</v>
      </c>
      <c r="H7"/>
      <c r="I7" t="str">
        <f t="shared" si="0"/>
        <v xml:space="preserve"> VSK0800  VSK0800 </v>
      </c>
    </row>
    <row r="8" spans="1:9" thickTop="1" thickBot="1" x14ac:dyDescent="0.3">
      <c r="A8" s="45" t="s">
        <v>300</v>
      </c>
      <c r="B8" s="35" t="s">
        <v>378</v>
      </c>
      <c r="C8" s="38" t="s">
        <v>94</v>
      </c>
      <c r="D8" s="7" t="s">
        <v>677</v>
      </c>
      <c r="E8" s="25" t="s">
        <v>614</v>
      </c>
      <c r="F8" s="41" t="s">
        <v>440</v>
      </c>
      <c r="G8" s="41" t="s">
        <v>512</v>
      </c>
      <c r="H8"/>
      <c r="I8" t="str">
        <f t="shared" si="0"/>
        <v xml:space="preserve"> DMC-LF1 DMCLF1</v>
      </c>
    </row>
    <row r="9" spans="1:9" thickTop="1" thickBot="1" x14ac:dyDescent="0.3">
      <c r="A9" s="45" t="s">
        <v>301</v>
      </c>
      <c r="B9" s="35" t="s">
        <v>379</v>
      </c>
      <c r="C9" s="38" t="s">
        <v>41</v>
      </c>
      <c r="D9" s="7" t="s">
        <v>676</v>
      </c>
      <c r="E9" s="25" t="s">
        <v>614</v>
      </c>
      <c r="F9" s="41" t="s">
        <v>441</v>
      </c>
      <c r="G9" s="41" t="s">
        <v>513</v>
      </c>
      <c r="H9"/>
      <c r="I9" t="str">
        <f t="shared" si="0"/>
        <v> DE-A79B  DEA79B</v>
      </c>
    </row>
    <row r="10" spans="1:9" thickTop="1" thickBot="1" x14ac:dyDescent="0.3">
      <c r="A10" s="45" t="s">
        <v>302</v>
      </c>
      <c r="B10" s="35" t="s">
        <v>380</v>
      </c>
      <c r="C10" s="38" t="s">
        <v>42</v>
      </c>
      <c r="D10" s="7" t="s">
        <v>675</v>
      </c>
      <c r="E10" s="25" t="s">
        <v>614</v>
      </c>
      <c r="F10" s="41" t="s">
        <v>442</v>
      </c>
      <c r="G10" s="41" t="s">
        <v>514</v>
      </c>
      <c r="H10"/>
      <c r="I10" t="str">
        <f t="shared" si="0"/>
        <v xml:space="preserve"> DE-A93A DE-A93B DMW-BTC7 DEA93A DEA93B DMWBTC7</v>
      </c>
    </row>
    <row r="11" spans="1:9" thickTop="1" thickBot="1" x14ac:dyDescent="0.3">
      <c r="A11" s="45" t="s">
        <v>303</v>
      </c>
      <c r="B11" s="35" t="s">
        <v>381</v>
      </c>
      <c r="C11" s="38" t="s">
        <v>43</v>
      </c>
      <c r="D11" s="7" t="s">
        <v>674</v>
      </c>
      <c r="E11" s="25" t="s">
        <v>614</v>
      </c>
      <c r="F11" s="41" t="s">
        <v>443</v>
      </c>
      <c r="G11" s="41" t="s">
        <v>515</v>
      </c>
      <c r="H11"/>
      <c r="I11" t="str">
        <f t="shared" si="0"/>
        <v xml:space="preserve"> DE-A99A DE-A99B DMW-BTC9 DEA99A DEA99B DMWBTC9</v>
      </c>
    </row>
    <row r="12" spans="1:9" thickTop="1" thickBot="1" x14ac:dyDescent="0.3">
      <c r="A12" s="45" t="s">
        <v>304</v>
      </c>
      <c r="B12" s="35" t="s">
        <v>382</v>
      </c>
      <c r="C12" s="38" t="s">
        <v>44</v>
      </c>
      <c r="D12" s="7" t="s">
        <v>673</v>
      </c>
      <c r="E12" s="25" t="s">
        <v>614</v>
      </c>
      <c r="F12" s="41" t="s">
        <v>444</v>
      </c>
      <c r="G12" s="41" t="s">
        <v>516</v>
      </c>
      <c r="H12"/>
      <c r="I12" t="str">
        <f t="shared" si="0"/>
        <v xml:space="preserve"> DMW-BTC10 DMWBTC10</v>
      </c>
    </row>
    <row r="13" spans="1:9" thickTop="1" thickBot="1" x14ac:dyDescent="0.3">
      <c r="A13" s="31" t="s">
        <v>305</v>
      </c>
      <c r="B13" s="35" t="s">
        <v>383</v>
      </c>
      <c r="C13" s="38" t="s">
        <v>45</v>
      </c>
      <c r="D13" s="7" t="s">
        <v>672</v>
      </c>
      <c r="E13" s="25" t="s">
        <v>614</v>
      </c>
      <c r="F13" s="41" t="s">
        <v>445</v>
      </c>
      <c r="G13" s="41" t="s">
        <v>517</v>
      </c>
      <c r="H13"/>
      <c r="I13" t="str">
        <f t="shared" si="0"/>
        <v xml:space="preserve"> DMW-BLG10 DMWBLG10</v>
      </c>
    </row>
    <row r="14" spans="1:9" thickTop="1" thickBot="1" x14ac:dyDescent="0.3">
      <c r="A14" s="31" t="s">
        <v>306</v>
      </c>
      <c r="B14" s="35" t="s">
        <v>384</v>
      </c>
      <c r="C14" s="38" t="s">
        <v>47</v>
      </c>
      <c r="D14" s="7" t="s">
        <v>671</v>
      </c>
      <c r="E14" s="25" t="s">
        <v>614</v>
      </c>
      <c r="F14" s="41" t="s">
        <v>446</v>
      </c>
      <c r="G14" s="41" t="s">
        <v>518</v>
      </c>
      <c r="H14"/>
      <c r="I14" t="str">
        <f t="shared" si="0"/>
        <v xml:space="preserve"> PS-BCS1 BCS1 PSBCS1 BCS1</v>
      </c>
    </row>
    <row r="15" spans="1:9" thickTop="1" thickBot="1" x14ac:dyDescent="0.3">
      <c r="A15" s="31" t="s">
        <v>307</v>
      </c>
      <c r="B15" s="35" t="s">
        <v>385</v>
      </c>
      <c r="C15" s="38" t="s">
        <v>49</v>
      </c>
      <c r="D15" s="7" t="s">
        <v>670</v>
      </c>
      <c r="E15" s="25" t="s">
        <v>614</v>
      </c>
      <c r="F15" s="41" t="s">
        <v>447</v>
      </c>
      <c r="G15" s="41" t="s">
        <v>519</v>
      </c>
      <c r="H15"/>
      <c r="I15" t="str">
        <f t="shared" si="0"/>
        <v xml:space="preserve"> DE-A83 DMW-BTC4 DEA83 DMWBTC4</v>
      </c>
    </row>
    <row r="16" spans="1:9" thickTop="1" thickBot="1" x14ac:dyDescent="0.3">
      <c r="A16" s="31" t="s">
        <v>308</v>
      </c>
      <c r="B16" s="35" t="s">
        <v>386</v>
      </c>
      <c r="C16" s="38" t="s">
        <v>418</v>
      </c>
      <c r="D16" s="7" t="s">
        <v>669</v>
      </c>
      <c r="E16" s="25" t="s">
        <v>614</v>
      </c>
      <c r="F16" s="41" t="s">
        <v>448</v>
      </c>
      <c r="G16" s="41" t="s">
        <v>520</v>
      </c>
      <c r="H16"/>
      <c r="I16" t="str">
        <f t="shared" si="0"/>
        <v xml:space="preserve"> BC-CSN BCCSN BCCSN BCCSN</v>
      </c>
    </row>
    <row r="17" spans="1:9" thickTop="1" thickBot="1" x14ac:dyDescent="0.3">
      <c r="A17" s="31" t="s">
        <v>309</v>
      </c>
      <c r="B17" s="35" t="s">
        <v>387</v>
      </c>
      <c r="C17" s="38" t="s">
        <v>419</v>
      </c>
      <c r="D17" s="7" t="s">
        <v>668</v>
      </c>
      <c r="E17" s="25" t="s">
        <v>614</v>
      </c>
      <c r="F17" s="41" t="s">
        <v>449</v>
      </c>
      <c r="G17" s="41" t="s">
        <v>521</v>
      </c>
      <c r="H17"/>
      <c r="I17" t="str">
        <f t="shared" si="0"/>
        <v xml:space="preserve"> AA-VG1 AA-VG1U AAVG1 AAVG1U</v>
      </c>
    </row>
    <row r="18" spans="1:9" thickTop="1" thickBot="1" x14ac:dyDescent="0.3">
      <c r="A18" s="31" t="s">
        <v>310</v>
      </c>
      <c r="B18" s="35" t="s">
        <v>388</v>
      </c>
      <c r="C18" s="38" t="s">
        <v>61</v>
      </c>
      <c r="D18" s="7" t="s">
        <v>615</v>
      </c>
      <c r="E18" s="25" t="s">
        <v>614</v>
      </c>
      <c r="F18" s="41" t="s">
        <v>450</v>
      </c>
      <c r="G18" s="41" t="s">
        <v>522</v>
      </c>
      <c r="H18"/>
      <c r="I18" t="str">
        <f t="shared" si="0"/>
        <v xml:space="preserve">ED-BP1030 ED-BP1130  EDBP1030 EDBP1130 </v>
      </c>
    </row>
    <row r="19" spans="1:9" thickTop="1" thickBot="1" x14ac:dyDescent="0.3">
      <c r="A19" s="31" t="s">
        <v>311</v>
      </c>
      <c r="B19" s="35" t="s">
        <v>389</v>
      </c>
      <c r="C19" s="38" t="s">
        <v>51</v>
      </c>
      <c r="D19" s="7" t="s">
        <v>667</v>
      </c>
      <c r="E19" s="25" t="s">
        <v>614</v>
      </c>
      <c r="F19" s="41" t="s">
        <v>451</v>
      </c>
      <c r="G19" s="41" t="s">
        <v>523</v>
      </c>
      <c r="H19"/>
      <c r="I19" t="str">
        <f t="shared" si="0"/>
        <v xml:space="preserve"> CG-110 CG110</v>
      </c>
    </row>
    <row r="20" spans="1:9" thickTop="1" thickBot="1" x14ac:dyDescent="0.3">
      <c r="A20" s="31" t="s">
        <v>312</v>
      </c>
      <c r="B20" s="35" t="s">
        <v>390</v>
      </c>
      <c r="C20" s="38" t="s">
        <v>62</v>
      </c>
      <c r="D20" s="7" t="s">
        <v>684</v>
      </c>
      <c r="E20" s="25" t="s">
        <v>614</v>
      </c>
      <c r="F20" s="41" t="s">
        <v>452</v>
      </c>
      <c r="G20" s="41" t="s">
        <v>524</v>
      </c>
      <c r="H20"/>
      <c r="I20" t="str">
        <f t="shared" si="0"/>
        <v xml:space="preserve"> ED-BP1310 BP1310 EDBP1310 BP1310</v>
      </c>
    </row>
    <row r="21" spans="1:9" thickTop="1" thickBot="1" x14ac:dyDescent="0.3">
      <c r="A21" s="31" t="s">
        <v>313</v>
      </c>
      <c r="B21" s="35" t="s">
        <v>391</v>
      </c>
      <c r="C21" s="38" t="s">
        <v>52</v>
      </c>
      <c r="D21" s="7" t="s">
        <v>685</v>
      </c>
      <c r="E21" s="25" t="s">
        <v>614</v>
      </c>
      <c r="F21" s="41" t="s">
        <v>453</v>
      </c>
      <c r="G21" s="41" t="s">
        <v>525</v>
      </c>
      <c r="H21"/>
      <c r="I21" t="str">
        <f t="shared" si="0"/>
        <v xml:space="preserve"> CB-5L CG-560 CG-570 CG-580 CB5L CG560 CG570 CG580</v>
      </c>
    </row>
    <row r="22" spans="1:9" thickTop="1" thickBot="1" x14ac:dyDescent="0.3">
      <c r="A22" s="31" t="s">
        <v>314</v>
      </c>
      <c r="B22" s="35" t="s">
        <v>392</v>
      </c>
      <c r="C22" s="38" t="s">
        <v>50</v>
      </c>
      <c r="D22" s="7" t="s">
        <v>686</v>
      </c>
      <c r="E22" s="25" t="s">
        <v>614</v>
      </c>
      <c r="F22" s="41" t="s">
        <v>454</v>
      </c>
      <c r="G22" s="41" t="s">
        <v>526</v>
      </c>
      <c r="H22"/>
      <c r="I22" t="str">
        <f t="shared" si="0"/>
        <v xml:space="preserve"> EA-BP70A BP70A IA-BP70A EABP70A BP70A IABP70A</v>
      </c>
    </row>
    <row r="23" spans="1:9" thickTop="1" thickBot="1" x14ac:dyDescent="0.3">
      <c r="A23" s="31" t="s">
        <v>315</v>
      </c>
      <c r="B23" s="35" t="s">
        <v>393</v>
      </c>
      <c r="C23" s="38" t="s">
        <v>420</v>
      </c>
      <c r="D23" s="7" t="s">
        <v>687</v>
      </c>
      <c r="E23" s="25" t="s">
        <v>614</v>
      </c>
      <c r="F23" s="41" t="s">
        <v>455</v>
      </c>
      <c r="G23" s="41" t="s">
        <v>527</v>
      </c>
      <c r="H23"/>
      <c r="I23" t="str">
        <f t="shared" si="0"/>
        <v xml:space="preserve"> CG-700 BP-709 BP-718 BP-745 CG700 BP709 BP718 BP745</v>
      </c>
    </row>
    <row r="24" spans="1:9" thickTop="1" thickBot="1" x14ac:dyDescent="0.3">
      <c r="A24" s="31" t="s">
        <v>316</v>
      </c>
      <c r="B24" s="35" t="s">
        <v>394</v>
      </c>
      <c r="C24" s="38" t="s">
        <v>56</v>
      </c>
      <c r="D24" s="7" t="s">
        <v>688</v>
      </c>
      <c r="E24" s="25" t="s">
        <v>614</v>
      </c>
      <c r="F24" s="41" t="s">
        <v>456</v>
      </c>
      <c r="G24" s="41" t="s">
        <v>528</v>
      </c>
      <c r="H24"/>
      <c r="I24" t="str">
        <f t="shared" si="0"/>
        <v xml:space="preserve"> CG-800 BP-807 BP-808 BP-809 BP-819 BP-820 BP-827 BP-828 CG800 BP807 BP808 BP809 BP819 BP820 BP827 BP828</v>
      </c>
    </row>
    <row r="25" spans="1:9" thickTop="1" thickBot="1" x14ac:dyDescent="0.3">
      <c r="A25" s="31" t="s">
        <v>317</v>
      </c>
      <c r="B25" s="35" t="s">
        <v>395</v>
      </c>
      <c r="C25" s="38" t="s">
        <v>421</v>
      </c>
      <c r="D25" s="7" t="s">
        <v>689</v>
      </c>
      <c r="E25" s="25" t="s">
        <v>614</v>
      </c>
      <c r="F25" s="41" t="s">
        <v>457</v>
      </c>
      <c r="G25" s="41" t="s">
        <v>529</v>
      </c>
      <c r="H25"/>
      <c r="I25" t="str">
        <f t="shared" si="0"/>
        <v xml:space="preserve"> CG-900 BP-950G, BP-955, BP-970G, BP-975 BP-925 CG900 BP950G, BP955, BP970G, BP975 BP925</v>
      </c>
    </row>
    <row r="26" spans="1:9" thickTop="1" thickBot="1" x14ac:dyDescent="0.3">
      <c r="A26" s="31" t="s">
        <v>318</v>
      </c>
      <c r="B26" s="35" t="s">
        <v>396</v>
      </c>
      <c r="C26" s="38" t="s">
        <v>422</v>
      </c>
      <c r="D26" s="7" t="s">
        <v>690</v>
      </c>
      <c r="E26" s="25" t="s">
        <v>614</v>
      </c>
      <c r="F26" s="41" t="s">
        <v>458</v>
      </c>
      <c r="G26" s="41" t="s">
        <v>530</v>
      </c>
      <c r="H26"/>
      <c r="I26" t="str">
        <f t="shared" si="0"/>
        <v xml:space="preserve"> BC-TRX BCTRX</v>
      </c>
    </row>
    <row r="27" spans="1:9" thickTop="1" thickBot="1" x14ac:dyDescent="0.3">
      <c r="A27" s="31" t="s">
        <v>319</v>
      </c>
      <c r="B27" s="35" t="s">
        <v>397</v>
      </c>
      <c r="C27" s="38" t="s">
        <v>423</v>
      </c>
      <c r="D27" s="7" t="s">
        <v>691</v>
      </c>
      <c r="E27" s="25" t="s">
        <v>614</v>
      </c>
      <c r="F27" s="41" t="s">
        <v>459</v>
      </c>
      <c r="G27" s="41" t="s">
        <v>531</v>
      </c>
      <c r="H27"/>
      <c r="I27" t="str">
        <f t="shared" si="0"/>
        <v xml:space="preserve"> CGR-D08 CGR-D16 CGR-D28 CGA-D54 CGR-D120 CGR-D220 CGR-D320 CGRD08 CGRD16 CGRD28 CGAD54 CGRD120 CGRD220 CGRD320</v>
      </c>
    </row>
    <row r="28" spans="1:9" thickTop="1" thickBot="1" x14ac:dyDescent="0.3">
      <c r="A28" s="31" t="s">
        <v>320</v>
      </c>
      <c r="B28" s="35" t="s">
        <v>398</v>
      </c>
      <c r="C28" s="38" t="s">
        <v>67</v>
      </c>
      <c r="D28" s="7" t="s">
        <v>616</v>
      </c>
      <c r="E28" s="25" t="s">
        <v>614</v>
      </c>
      <c r="F28" s="41" t="s">
        <v>460</v>
      </c>
      <c r="G28" s="41" t="s">
        <v>532</v>
      </c>
      <c r="H28"/>
      <c r="I28" t="str">
        <f t="shared" si="0"/>
        <v xml:space="preserve"> MH-65 MH65</v>
      </c>
    </row>
    <row r="29" spans="1:9" thickTop="1" thickBot="1" x14ac:dyDescent="0.3">
      <c r="A29" s="31" t="s">
        <v>321</v>
      </c>
      <c r="B29" s="35" t="s">
        <v>399</v>
      </c>
      <c r="C29" s="38" t="s">
        <v>68</v>
      </c>
      <c r="D29" s="7" t="s">
        <v>617</v>
      </c>
      <c r="E29" s="25" t="s">
        <v>614</v>
      </c>
      <c r="F29" s="41" t="s">
        <v>461</v>
      </c>
      <c r="G29" s="41" t="s">
        <v>533</v>
      </c>
      <c r="H29"/>
      <c r="I29" t="str">
        <f t="shared" si="0"/>
        <v xml:space="preserve"> MH-24 MH24</v>
      </c>
    </row>
    <row r="30" spans="1:9" thickTop="1" thickBot="1" x14ac:dyDescent="0.3">
      <c r="A30" s="31" t="s">
        <v>322</v>
      </c>
      <c r="B30" s="35" t="s">
        <v>400</v>
      </c>
      <c r="C30" s="38" t="s">
        <v>69</v>
      </c>
      <c r="D30" s="7" t="s">
        <v>618</v>
      </c>
      <c r="E30" s="25" t="s">
        <v>614</v>
      </c>
      <c r="F30" s="41" t="s">
        <v>462</v>
      </c>
      <c r="G30" s="41" t="s">
        <v>534</v>
      </c>
      <c r="H30"/>
      <c r="I30" t="str">
        <f t="shared" si="0"/>
        <v xml:space="preserve"> MH-25 MH-25A MH25 MH25A</v>
      </c>
    </row>
    <row r="31" spans="1:9" thickTop="1" thickBot="1" x14ac:dyDescent="0.3">
      <c r="A31" s="31" t="s">
        <v>323</v>
      </c>
      <c r="B31" s="35" t="s">
        <v>401</v>
      </c>
      <c r="C31" s="38" t="s">
        <v>70</v>
      </c>
      <c r="D31" s="7" t="s">
        <v>619</v>
      </c>
      <c r="E31" s="25" t="s">
        <v>614</v>
      </c>
      <c r="F31" s="41" t="s">
        <v>463</v>
      </c>
      <c r="G31" s="41" t="s">
        <v>535</v>
      </c>
      <c r="H31"/>
      <c r="I31" t="str">
        <f t="shared" si="0"/>
        <v xml:space="preserve"> MH-66 MH66</v>
      </c>
    </row>
    <row r="32" spans="1:9" thickTop="1" thickBot="1" x14ac:dyDescent="0.3">
      <c r="A32" s="31" t="s">
        <v>324</v>
      </c>
      <c r="B32" s="35" t="s">
        <v>402</v>
      </c>
      <c r="C32" s="38" t="s">
        <v>71</v>
      </c>
      <c r="D32" s="7" t="s">
        <v>620</v>
      </c>
      <c r="E32" s="25" t="s">
        <v>614</v>
      </c>
      <c r="F32" s="41" t="s">
        <v>464</v>
      </c>
      <c r="G32" s="41" t="s">
        <v>536</v>
      </c>
      <c r="H32"/>
      <c r="I32" t="str">
        <f t="shared" si="0"/>
        <v xml:space="preserve"> MH-27 MH27</v>
      </c>
    </row>
    <row r="33" spans="1:9" thickTop="1" thickBot="1" x14ac:dyDescent="0.3">
      <c r="A33" s="31" t="s">
        <v>325</v>
      </c>
      <c r="B33" s="35" t="s">
        <v>403</v>
      </c>
      <c r="C33" s="38" t="s">
        <v>72</v>
      </c>
      <c r="D33" s="7" t="s">
        <v>621</v>
      </c>
      <c r="E33" s="25" t="s">
        <v>614</v>
      </c>
      <c r="F33" s="41" t="s">
        <v>465</v>
      </c>
      <c r="G33" s="41" t="s">
        <v>537</v>
      </c>
      <c r="H33"/>
      <c r="I33" t="str">
        <f t="shared" si="0"/>
        <v xml:space="preserve"> MH-28 MH28</v>
      </c>
    </row>
    <row r="34" spans="1:9" thickTop="1" thickBot="1" x14ac:dyDescent="0.3">
      <c r="A34" s="31" t="s">
        <v>326</v>
      </c>
      <c r="B34" s="35" t="s">
        <v>89</v>
      </c>
      <c r="C34" s="38" t="s">
        <v>101</v>
      </c>
      <c r="D34" s="7" t="s">
        <v>622</v>
      </c>
      <c r="E34" s="25" t="s">
        <v>614</v>
      </c>
      <c r="F34" s="41" t="s">
        <v>466</v>
      </c>
      <c r="G34" s="41" t="s">
        <v>538</v>
      </c>
      <c r="H34"/>
      <c r="I34" t="str">
        <f t="shared" si="0"/>
        <v xml:space="preserve"> MH-67P MH-67 MH67P MH67</v>
      </c>
    </row>
    <row r="35" spans="1:9" thickTop="1" thickBot="1" x14ac:dyDescent="0.3">
      <c r="A35" s="31" t="s">
        <v>327</v>
      </c>
      <c r="B35" s="35" t="s">
        <v>404</v>
      </c>
      <c r="C35" s="38" t="s">
        <v>424</v>
      </c>
      <c r="D35" s="7" t="s">
        <v>623</v>
      </c>
      <c r="E35" s="25" t="s">
        <v>614</v>
      </c>
      <c r="F35" s="41" t="s">
        <v>467</v>
      </c>
      <c r="G35" s="41" t="s">
        <v>539</v>
      </c>
      <c r="H35"/>
      <c r="I35" t="str">
        <f t="shared" si="0"/>
        <v xml:space="preserve"> MH-31 MH31</v>
      </c>
    </row>
    <row r="36" spans="1:9" thickTop="1" thickBot="1" x14ac:dyDescent="0.3">
      <c r="A36" s="31" t="s">
        <v>328</v>
      </c>
      <c r="B36" s="35" t="s">
        <v>405</v>
      </c>
      <c r="C36" s="38" t="s">
        <v>64</v>
      </c>
      <c r="D36" s="7" t="s">
        <v>624</v>
      </c>
      <c r="E36" s="25" t="s">
        <v>614</v>
      </c>
      <c r="F36" s="41" t="s">
        <v>468</v>
      </c>
      <c r="G36" s="41" t="s">
        <v>540</v>
      </c>
      <c r="H36"/>
      <c r="I36" t="str">
        <f t="shared" si="0"/>
        <v xml:space="preserve"> MH-18 MH-19 MH18 MH19</v>
      </c>
    </row>
    <row r="37" spans="1:9" thickTop="1" thickBot="1" x14ac:dyDescent="0.3">
      <c r="A37" s="31" t="s">
        <v>329</v>
      </c>
      <c r="B37" s="35" t="s">
        <v>406</v>
      </c>
      <c r="C37" s="38" t="s">
        <v>65</v>
      </c>
      <c r="D37" s="7" t="s">
        <v>625</v>
      </c>
      <c r="E37" s="25" t="s">
        <v>614</v>
      </c>
      <c r="F37" s="41" t="s">
        <v>469</v>
      </c>
      <c r="G37" s="41" t="s">
        <v>541</v>
      </c>
      <c r="H37"/>
      <c r="I37" t="str">
        <f t="shared" si="0"/>
        <v xml:space="preserve"> MH-61 MH61</v>
      </c>
    </row>
    <row r="38" spans="1:9" thickTop="1" thickBot="1" x14ac:dyDescent="0.3">
      <c r="A38" s="31" t="s">
        <v>330</v>
      </c>
      <c r="B38" s="35" t="s">
        <v>143</v>
      </c>
      <c r="C38" s="38" t="s">
        <v>66</v>
      </c>
      <c r="D38" s="7" t="s">
        <v>626</v>
      </c>
      <c r="E38" s="25" t="s">
        <v>614</v>
      </c>
      <c r="F38" s="41" t="s">
        <v>470</v>
      </c>
      <c r="G38" s="41" t="s">
        <v>542</v>
      </c>
      <c r="H38"/>
      <c r="I38" t="str">
        <f t="shared" si="0"/>
        <v xml:space="preserve"> MH-62 MH62</v>
      </c>
    </row>
    <row r="39" spans="1:9" thickTop="1" thickBot="1" x14ac:dyDescent="0.3">
      <c r="A39" s="31" t="s">
        <v>331</v>
      </c>
      <c r="B39" s="35" t="s">
        <v>144</v>
      </c>
      <c r="C39" s="38" t="s">
        <v>96</v>
      </c>
      <c r="D39" s="7" t="s">
        <v>627</v>
      </c>
      <c r="E39" s="25" t="s">
        <v>614</v>
      </c>
      <c r="F39" s="41" t="s">
        <v>471</v>
      </c>
      <c r="G39" s="41" t="s">
        <v>543</v>
      </c>
      <c r="H39"/>
      <c r="I39" t="str">
        <f t="shared" si="0"/>
        <v xml:space="preserve"> MH-23 MH23</v>
      </c>
    </row>
    <row r="40" spans="1:9" thickTop="1" thickBot="1" x14ac:dyDescent="0.3">
      <c r="A40" s="31" t="s">
        <v>332</v>
      </c>
      <c r="B40" s="35" t="s">
        <v>407</v>
      </c>
      <c r="C40" s="38" t="s">
        <v>425</v>
      </c>
      <c r="D40" s="7" t="s">
        <v>628</v>
      </c>
      <c r="E40" s="25" t="s">
        <v>614</v>
      </c>
      <c r="F40" s="41" t="s">
        <v>472</v>
      </c>
      <c r="G40" s="41" t="s">
        <v>544</v>
      </c>
      <c r="H40"/>
      <c r="I40" t="str">
        <f t="shared" si="0"/>
        <v xml:space="preserve"> BC-CSG BC-TRG BCCSG BCTRG</v>
      </c>
    </row>
    <row r="41" spans="1:9" thickTop="1" thickBot="1" x14ac:dyDescent="0.3">
      <c r="A41" s="31" t="s">
        <v>333</v>
      </c>
      <c r="B41" s="35" t="s">
        <v>408</v>
      </c>
      <c r="C41" s="38" t="s">
        <v>426</v>
      </c>
      <c r="D41" s="7" t="s">
        <v>629</v>
      </c>
      <c r="E41" s="25" t="s">
        <v>614</v>
      </c>
      <c r="F41" s="41" t="s">
        <v>473</v>
      </c>
      <c r="G41" s="41" t="s">
        <v>545</v>
      </c>
      <c r="H41"/>
      <c r="I41" t="str">
        <f t="shared" si="0"/>
        <v xml:space="preserve"> CB-2LT CB-2LW CB2LT CB2LW</v>
      </c>
    </row>
    <row r="42" spans="1:9" thickTop="1" thickBot="1" x14ac:dyDescent="0.3">
      <c r="A42" s="31" t="s">
        <v>334</v>
      </c>
      <c r="B42" s="35" t="s">
        <v>409</v>
      </c>
      <c r="C42" s="38" t="s">
        <v>427</v>
      </c>
      <c r="D42" s="7" t="s">
        <v>630</v>
      </c>
      <c r="E42" s="25" t="s">
        <v>614</v>
      </c>
      <c r="F42" s="41" t="s">
        <v>474</v>
      </c>
      <c r="G42" s="41" t="s">
        <v>546</v>
      </c>
      <c r="H42"/>
      <c r="I42" t="str">
        <f t="shared" si="0"/>
        <v xml:space="preserve"> BC-TRW BCTRW</v>
      </c>
    </row>
    <row r="43" spans="1:9" thickTop="1" thickBot="1" x14ac:dyDescent="0.3">
      <c r="A43" s="31" t="s">
        <v>335</v>
      </c>
      <c r="B43" s="35" t="s">
        <v>410</v>
      </c>
      <c r="C43" s="38" t="s">
        <v>428</v>
      </c>
      <c r="D43" s="7" t="s">
        <v>631</v>
      </c>
      <c r="E43" s="25" t="s">
        <v>614</v>
      </c>
      <c r="F43" s="41" t="s">
        <v>475</v>
      </c>
      <c r="G43" s="41" t="s">
        <v>547</v>
      </c>
      <c r="H43"/>
      <c r="I43" t="str">
        <f t="shared" si="0"/>
        <v xml:space="preserve"> AHDBT-301 / AHDBT-302 AHDBT301 / AHDBT302</v>
      </c>
    </row>
    <row r="44" spans="1:9" thickTop="1" thickBot="1" x14ac:dyDescent="0.3">
      <c r="A44" s="31" t="s">
        <v>336</v>
      </c>
      <c r="B44" s="35" t="s">
        <v>411</v>
      </c>
      <c r="C44" s="38" t="s">
        <v>429</v>
      </c>
      <c r="D44" s="7" t="s">
        <v>632</v>
      </c>
      <c r="E44" s="25" t="s">
        <v>614</v>
      </c>
      <c r="F44" s="41" t="s">
        <v>476</v>
      </c>
      <c r="G44" s="41" t="s">
        <v>548</v>
      </c>
      <c r="H44"/>
      <c r="I44" t="str">
        <f t="shared" si="0"/>
        <v xml:space="preserve"> AHDBT-401 AHDBT401</v>
      </c>
    </row>
    <row r="45" spans="1:9" thickTop="1" thickBot="1" x14ac:dyDescent="0.3">
      <c r="A45" s="31" t="s">
        <v>337</v>
      </c>
      <c r="B45" s="35" t="s">
        <v>145</v>
      </c>
      <c r="C45" s="38" t="s">
        <v>73</v>
      </c>
      <c r="D45" s="7" t="s">
        <v>633</v>
      </c>
      <c r="E45" s="25" t="s">
        <v>614</v>
      </c>
      <c r="F45" s="41" t="s">
        <v>477</v>
      </c>
      <c r="G45" s="41" t="s">
        <v>547</v>
      </c>
      <c r="H45"/>
      <c r="I45" t="str">
        <f t="shared" si="0"/>
        <v xml:space="preserve"> AHDBT-301 / AHDBT-302 AHDBT301 / AHDBT302 </v>
      </c>
    </row>
    <row r="46" spans="1:9" thickTop="1" thickBot="1" x14ac:dyDescent="0.3">
      <c r="A46" s="31" t="s">
        <v>338</v>
      </c>
      <c r="B46" s="35" t="s">
        <v>412</v>
      </c>
      <c r="C46" s="38" t="s">
        <v>430</v>
      </c>
      <c r="D46" s="7" t="s">
        <v>632</v>
      </c>
      <c r="E46" s="25" t="s">
        <v>614</v>
      </c>
      <c r="F46" s="41" t="s">
        <v>476</v>
      </c>
      <c r="G46" s="41" t="s">
        <v>548</v>
      </c>
      <c r="H46"/>
      <c r="I46" t="str">
        <f t="shared" si="0"/>
        <v xml:space="preserve"> AHDBT-401 AHDBT401</v>
      </c>
    </row>
    <row r="47" spans="1:9" thickTop="1" thickBot="1" x14ac:dyDescent="0.3">
      <c r="A47" s="31" t="s">
        <v>339</v>
      </c>
      <c r="B47" s="35" t="s">
        <v>578</v>
      </c>
      <c r="C47" s="38" t="s">
        <v>79</v>
      </c>
      <c r="D47" s="7" t="s">
        <v>634</v>
      </c>
      <c r="E47" s="25" t="s">
        <v>614</v>
      </c>
      <c r="F47" s="41" t="s">
        <v>478</v>
      </c>
      <c r="G47" s="41" t="s">
        <v>549</v>
      </c>
      <c r="H47"/>
      <c r="I47" t="str">
        <f t="shared" si="0"/>
        <v xml:space="preserve"> D-BC109 K-BC109 DBC109 DBC109 KBC109 DBC109</v>
      </c>
    </row>
    <row r="48" spans="1:9" thickTop="1" thickBot="1" x14ac:dyDescent="0.3">
      <c r="A48" s="31" t="s">
        <v>340</v>
      </c>
      <c r="B48" s="35" t="s">
        <v>579</v>
      </c>
      <c r="C48" s="38" t="s">
        <v>74</v>
      </c>
      <c r="D48" s="7" t="s">
        <v>635</v>
      </c>
      <c r="E48" s="25" t="s">
        <v>614</v>
      </c>
      <c r="F48" s="41" t="s">
        <v>479</v>
      </c>
      <c r="G48" s="41" t="s">
        <v>550</v>
      </c>
      <c r="H48"/>
      <c r="I48" t="str">
        <f t="shared" si="0"/>
        <v xml:space="preserve"> LI-40C LI-41C Li-42C LI40C LI41C Li42C</v>
      </c>
    </row>
    <row r="49" spans="1:9" thickTop="1" thickBot="1" x14ac:dyDescent="0.3">
      <c r="A49" s="31" t="s">
        <v>341</v>
      </c>
      <c r="B49" s="35" t="s">
        <v>580</v>
      </c>
      <c r="C49" s="38" t="s">
        <v>75</v>
      </c>
      <c r="D49" s="7" t="s">
        <v>636</v>
      </c>
      <c r="E49" s="25" t="s">
        <v>614</v>
      </c>
      <c r="F49" s="41" t="s">
        <v>480</v>
      </c>
      <c r="G49" s="41" t="s">
        <v>551</v>
      </c>
      <c r="H49"/>
      <c r="I49" t="str">
        <f t="shared" si="0"/>
        <v>LI-50C / UC-50 LI50C / UC50</v>
      </c>
    </row>
    <row r="50" spans="1:9" thickTop="1" thickBot="1" x14ac:dyDescent="0.3">
      <c r="A50" s="31" t="s">
        <v>342</v>
      </c>
      <c r="B50" s="35" t="s">
        <v>581</v>
      </c>
      <c r="C50" s="38" t="s">
        <v>76</v>
      </c>
      <c r="D50" s="7" t="s">
        <v>637</v>
      </c>
      <c r="E50" s="25" t="s">
        <v>614</v>
      </c>
      <c r="F50" s="41" t="s">
        <v>481</v>
      </c>
      <c r="G50" s="41" t="s">
        <v>552</v>
      </c>
      <c r="H50"/>
      <c r="I50" t="str">
        <f t="shared" si="0"/>
        <v>LI-70C LI70C</v>
      </c>
    </row>
    <row r="51" spans="1:9" thickTop="1" thickBot="1" x14ac:dyDescent="0.3">
      <c r="A51" s="31" t="s">
        <v>343</v>
      </c>
      <c r="B51" s="35" t="s">
        <v>582</v>
      </c>
      <c r="C51" s="38" t="s">
        <v>77</v>
      </c>
      <c r="D51" s="7" t="s">
        <v>638</v>
      </c>
      <c r="E51" s="25" t="s">
        <v>614</v>
      </c>
      <c r="F51" s="41" t="s">
        <v>482</v>
      </c>
      <c r="G51" s="41" t="s">
        <v>553</v>
      </c>
      <c r="H51"/>
      <c r="I51" t="str">
        <f t="shared" si="0"/>
        <v>UC-90 UC90</v>
      </c>
    </row>
    <row r="52" spans="1:9" thickTop="1" thickBot="1" x14ac:dyDescent="0.3">
      <c r="A52" s="31" t="s">
        <v>344</v>
      </c>
      <c r="B52" s="35" t="s">
        <v>583</v>
      </c>
      <c r="C52" s="38" t="s">
        <v>78</v>
      </c>
      <c r="D52" s="7" t="s">
        <v>638</v>
      </c>
      <c r="E52" s="25" t="s">
        <v>614</v>
      </c>
      <c r="F52" s="41" t="s">
        <v>482</v>
      </c>
      <c r="G52" s="41" t="s">
        <v>553</v>
      </c>
      <c r="H52"/>
      <c r="I52" t="str">
        <f t="shared" si="0"/>
        <v>UC-90 UC90</v>
      </c>
    </row>
    <row r="53" spans="1:9" thickTop="1" thickBot="1" x14ac:dyDescent="0.3">
      <c r="A53" s="31" t="s">
        <v>345</v>
      </c>
      <c r="B53" s="35" t="s">
        <v>584</v>
      </c>
      <c r="C53" s="38" t="s">
        <v>82</v>
      </c>
      <c r="D53" s="7" t="s">
        <v>639</v>
      </c>
      <c r="E53" s="25" t="s">
        <v>614</v>
      </c>
      <c r="F53" s="41" t="s">
        <v>483</v>
      </c>
      <c r="G53" s="41" t="s">
        <v>554</v>
      </c>
      <c r="H53"/>
      <c r="I53" t="str">
        <f t="shared" si="0"/>
        <v>LC-E10 CBC-E10 LCE10 CBCE10</v>
      </c>
    </row>
    <row r="54" spans="1:9" thickTop="1" thickBot="1" x14ac:dyDescent="0.3">
      <c r="A54" s="32" t="s">
        <v>346</v>
      </c>
      <c r="B54" s="35" t="s">
        <v>585</v>
      </c>
      <c r="C54" s="39" t="s">
        <v>83</v>
      </c>
      <c r="D54" s="7" t="s">
        <v>640</v>
      </c>
      <c r="E54" s="25" t="s">
        <v>614</v>
      </c>
      <c r="F54" s="41" t="s">
        <v>484</v>
      </c>
      <c r="G54" s="41" t="s">
        <v>555</v>
      </c>
      <c r="H54"/>
      <c r="I54" t="str">
        <f t="shared" si="0"/>
        <v>LC-E12 LCE12</v>
      </c>
    </row>
    <row r="55" spans="1:9" thickTop="1" thickBot="1" x14ac:dyDescent="0.3">
      <c r="A55" s="31" t="s">
        <v>347</v>
      </c>
      <c r="B55" s="35" t="s">
        <v>586</v>
      </c>
      <c r="C55" s="38" t="s">
        <v>93</v>
      </c>
      <c r="D55" s="7" t="s">
        <v>641</v>
      </c>
      <c r="E55" s="25" t="s">
        <v>614</v>
      </c>
      <c r="F55" s="41" t="s">
        <v>485</v>
      </c>
      <c r="G55" s="41" t="s">
        <v>556</v>
      </c>
      <c r="H55"/>
      <c r="I55" t="str">
        <f t="shared" si="0"/>
        <v>LC-E5 CBC-E5 LCE5 CBCE5</v>
      </c>
    </row>
    <row r="56" spans="1:9" thickTop="1" thickBot="1" x14ac:dyDescent="0.3">
      <c r="A56" s="31" t="s">
        <v>348</v>
      </c>
      <c r="B56" s="35" t="s">
        <v>587</v>
      </c>
      <c r="C56" s="38" t="s">
        <v>80</v>
      </c>
      <c r="D56" s="7" t="s">
        <v>642</v>
      </c>
      <c r="E56" s="25" t="s">
        <v>614</v>
      </c>
      <c r="F56" s="41" t="s">
        <v>486</v>
      </c>
      <c r="G56" s="41" t="s">
        <v>557</v>
      </c>
      <c r="H56"/>
      <c r="I56" t="str">
        <f t="shared" si="0"/>
        <v>LC-E6 LCE6</v>
      </c>
    </row>
    <row r="57" spans="1:9" thickTop="1" thickBot="1" x14ac:dyDescent="0.3">
      <c r="A57" s="31" t="s">
        <v>349</v>
      </c>
      <c r="B57" s="35" t="s">
        <v>588</v>
      </c>
      <c r="C57" s="38" t="s">
        <v>81</v>
      </c>
      <c r="D57" s="7" t="s">
        <v>643</v>
      </c>
      <c r="E57" s="25" t="s">
        <v>614</v>
      </c>
      <c r="F57" s="41" t="s">
        <v>487</v>
      </c>
      <c r="G57" s="41" t="s">
        <v>558</v>
      </c>
      <c r="H57"/>
      <c r="I57" t="str">
        <f t="shared" si="0"/>
        <v xml:space="preserve">LC-E8 LCE8
</v>
      </c>
    </row>
    <row r="58" spans="1:9" thickTop="1" thickBot="1" x14ac:dyDescent="0.3">
      <c r="A58" s="31" t="s">
        <v>350</v>
      </c>
      <c r="B58" s="35" t="s">
        <v>589</v>
      </c>
      <c r="C58" s="38" t="s">
        <v>102</v>
      </c>
      <c r="D58" s="7" t="s">
        <v>644</v>
      </c>
      <c r="E58" s="25" t="s">
        <v>614</v>
      </c>
      <c r="F58" s="42" t="s">
        <v>488</v>
      </c>
      <c r="G58" s="42" t="s">
        <v>559</v>
      </c>
      <c r="H58"/>
      <c r="I58" t="str">
        <f t="shared" si="0"/>
        <v>CB-2LC  CB2LC </v>
      </c>
    </row>
    <row r="59" spans="1:9" thickTop="1" thickBot="1" x14ac:dyDescent="0.3">
      <c r="A59" s="31" t="s">
        <v>351</v>
      </c>
      <c r="B59" s="35" t="s">
        <v>590</v>
      </c>
      <c r="C59" s="38" t="s">
        <v>103</v>
      </c>
      <c r="D59" s="7" t="s">
        <v>645</v>
      </c>
      <c r="E59" s="25" t="s">
        <v>614</v>
      </c>
      <c r="F59" s="42" t="s">
        <v>489</v>
      </c>
      <c r="G59" s="42" t="s">
        <v>560</v>
      </c>
      <c r="H59"/>
      <c r="I59" t="str">
        <f t="shared" si="0"/>
        <v>CB-2LD CB2LD</v>
      </c>
    </row>
    <row r="60" spans="1:9" thickTop="1" thickBot="1" x14ac:dyDescent="0.3">
      <c r="A60" s="31" t="s">
        <v>352</v>
      </c>
      <c r="B60" s="35" t="s">
        <v>591</v>
      </c>
      <c r="C60" s="38" t="s">
        <v>431</v>
      </c>
      <c r="D60" s="7" t="s">
        <v>646</v>
      </c>
      <c r="E60" s="25" t="s">
        <v>614</v>
      </c>
      <c r="F60" s="41" t="s">
        <v>490</v>
      </c>
      <c r="G60" s="41" t="s">
        <v>561</v>
      </c>
      <c r="H60"/>
      <c r="I60" t="str">
        <f t="shared" si="0"/>
        <v>CB-2LE CB2LE</v>
      </c>
    </row>
    <row r="61" spans="1:9" thickTop="1" thickBot="1" x14ac:dyDescent="0.3">
      <c r="A61" s="31" t="s">
        <v>353</v>
      </c>
      <c r="B61" s="35" t="s">
        <v>592</v>
      </c>
      <c r="C61" s="38" t="s">
        <v>104</v>
      </c>
      <c r="D61" s="7" t="s">
        <v>647</v>
      </c>
      <c r="E61" s="25" t="s">
        <v>614</v>
      </c>
      <c r="F61" s="41" t="s">
        <v>473</v>
      </c>
      <c r="G61" s="41" t="s">
        <v>562</v>
      </c>
      <c r="H61"/>
      <c r="I61" t="str">
        <f t="shared" si="0"/>
        <v>CB-2LT CB-2LW CB2LT CB2LW</v>
      </c>
    </row>
    <row r="62" spans="1:9" thickTop="1" thickBot="1" x14ac:dyDescent="0.3">
      <c r="A62" s="31" t="s">
        <v>354</v>
      </c>
      <c r="B62" s="35" t="s">
        <v>593</v>
      </c>
      <c r="C62" s="38" t="s">
        <v>105</v>
      </c>
      <c r="D62" s="7" t="s">
        <v>648</v>
      </c>
      <c r="E62" s="25" t="s">
        <v>614</v>
      </c>
      <c r="F62" s="41" t="s">
        <v>491</v>
      </c>
      <c r="G62" s="41" t="s">
        <v>563</v>
      </c>
      <c r="H62"/>
      <c r="I62" t="str">
        <f t="shared" si="0"/>
        <v>CB-2LV CB2LV</v>
      </c>
    </row>
    <row r="63" spans="1:9" thickTop="1" thickBot="1" x14ac:dyDescent="0.3">
      <c r="A63" s="31" t="s">
        <v>355</v>
      </c>
      <c r="B63" s="35" t="s">
        <v>594</v>
      </c>
      <c r="C63" s="38" t="s">
        <v>106</v>
      </c>
      <c r="D63" s="7" t="s">
        <v>649</v>
      </c>
      <c r="E63" s="25" t="s">
        <v>614</v>
      </c>
      <c r="F63" s="41" t="s">
        <v>492</v>
      </c>
      <c r="G63" s="41" t="s">
        <v>564</v>
      </c>
      <c r="H63"/>
      <c r="I63" t="str">
        <f t="shared" si="0"/>
        <v>CB-2LX CB2LX</v>
      </c>
    </row>
    <row r="64" spans="1:9" thickTop="1" thickBot="1" x14ac:dyDescent="0.3">
      <c r="A64" s="31" t="s">
        <v>356</v>
      </c>
      <c r="B64" s="35" t="s">
        <v>595</v>
      </c>
      <c r="C64" s="38" t="s">
        <v>107</v>
      </c>
      <c r="D64" s="7" t="s">
        <v>650</v>
      </c>
      <c r="E64" s="25" t="s">
        <v>614</v>
      </c>
      <c r="F64" s="41" t="s">
        <v>493</v>
      </c>
      <c r="G64" s="41" t="s">
        <v>565</v>
      </c>
      <c r="H64"/>
      <c r="I64" t="str">
        <f t="shared" si="0"/>
        <v>NB-6L NB-6LH NB6L NB6LH</v>
      </c>
    </row>
    <row r="65" spans="1:9" thickTop="1" thickBot="1" x14ac:dyDescent="0.3">
      <c r="A65" s="31" t="s">
        <v>357</v>
      </c>
      <c r="B65" s="35" t="s">
        <v>596</v>
      </c>
      <c r="C65" s="38" t="s">
        <v>108</v>
      </c>
      <c r="D65" s="7" t="s">
        <v>651</v>
      </c>
      <c r="E65" s="25" t="s">
        <v>614</v>
      </c>
      <c r="F65" s="41" t="s">
        <v>494</v>
      </c>
      <c r="G65" s="41" t="s">
        <v>566</v>
      </c>
      <c r="H65"/>
      <c r="I65" t="str">
        <f t="shared" si="0"/>
        <v>CB-2LZ CB2LZ</v>
      </c>
    </row>
    <row r="66" spans="1:9" thickTop="1" thickBot="1" x14ac:dyDescent="0.3">
      <c r="A66" s="31" t="s">
        <v>358</v>
      </c>
      <c r="B66" s="35" t="s">
        <v>597</v>
      </c>
      <c r="C66" s="38" t="s">
        <v>109</v>
      </c>
      <c r="D66" s="7" t="s">
        <v>652</v>
      </c>
      <c r="E66" s="25" t="s">
        <v>614</v>
      </c>
      <c r="F66" s="41" t="s">
        <v>495</v>
      </c>
      <c r="G66" s="41" t="s">
        <v>567</v>
      </c>
      <c r="H66"/>
      <c r="I66" t="str">
        <f t="shared" si="0"/>
        <v> CB-2LA  CB2LA</v>
      </c>
    </row>
    <row r="67" spans="1:9" thickTop="1" thickBot="1" x14ac:dyDescent="0.3">
      <c r="A67" s="31" t="s">
        <v>359</v>
      </c>
      <c r="B67" s="35" t="s">
        <v>598</v>
      </c>
      <c r="C67" s="38" t="s">
        <v>110</v>
      </c>
      <c r="D67" s="7" t="s">
        <v>653</v>
      </c>
      <c r="E67" s="25" t="s">
        <v>614</v>
      </c>
      <c r="F67" s="42" t="s">
        <v>496</v>
      </c>
      <c r="G67" s="42" t="s">
        <v>568</v>
      </c>
      <c r="H67"/>
      <c r="I67" t="str">
        <f t="shared" ref="I67:I79" si="1">CONCATENATE(G67," ",F67)</f>
        <v>CB-2LB CB2LB</v>
      </c>
    </row>
    <row r="68" spans="1:9" thickTop="1" thickBot="1" x14ac:dyDescent="0.3">
      <c r="A68" s="31" t="s">
        <v>360</v>
      </c>
      <c r="B68" s="35" t="s">
        <v>599</v>
      </c>
      <c r="C68" s="38" t="s">
        <v>111</v>
      </c>
      <c r="D68" s="7" t="s">
        <v>654</v>
      </c>
      <c r="E68" s="25" t="s">
        <v>614</v>
      </c>
      <c r="F68" s="41" t="s">
        <v>497</v>
      </c>
      <c r="G68" s="41" t="s">
        <v>569</v>
      </c>
      <c r="H68"/>
      <c r="I68" t="str">
        <f t="shared" si="1"/>
        <v>BC-45 BC-45A BC-45W BC-45B BC45 BC45A BC45W BC45B</v>
      </c>
    </row>
    <row r="69" spans="1:9" thickTop="1" thickBot="1" x14ac:dyDescent="0.3">
      <c r="A69" s="31" t="s">
        <v>361</v>
      </c>
      <c r="B69" s="35" t="s">
        <v>600</v>
      </c>
      <c r="C69" s="38" t="s">
        <v>113</v>
      </c>
      <c r="D69" s="7" t="s">
        <v>655</v>
      </c>
      <c r="E69" s="25" t="s">
        <v>614</v>
      </c>
      <c r="F69" s="41" t="s">
        <v>498</v>
      </c>
      <c r="G69" s="41" t="s">
        <v>570</v>
      </c>
      <c r="H69"/>
      <c r="I69" t="str">
        <f t="shared" si="1"/>
        <v>BC-50 BC-45W BC50 BC45W</v>
      </c>
    </row>
    <row r="70" spans="1:9" thickTop="1" thickBot="1" x14ac:dyDescent="0.3">
      <c r="A70" s="31" t="s">
        <v>362</v>
      </c>
      <c r="B70" s="35" t="s">
        <v>601</v>
      </c>
      <c r="C70" s="38" t="s">
        <v>114</v>
      </c>
      <c r="D70" s="7" t="s">
        <v>656</v>
      </c>
      <c r="E70" s="25" t="s">
        <v>614</v>
      </c>
      <c r="F70" s="41" t="s">
        <v>499</v>
      </c>
      <c r="G70" s="41" t="s">
        <v>571</v>
      </c>
      <c r="H70"/>
      <c r="I70" t="str">
        <f t="shared" si="1"/>
        <v>BC-85 BC85</v>
      </c>
    </row>
    <row r="71" spans="1:9" thickTop="1" thickBot="1" x14ac:dyDescent="0.3">
      <c r="A71" s="31" t="s">
        <v>363</v>
      </c>
      <c r="B71" s="35" t="s">
        <v>602</v>
      </c>
      <c r="C71" s="38" t="s">
        <v>115</v>
      </c>
      <c r="D71" s="7" t="s">
        <v>657</v>
      </c>
      <c r="E71" s="25" t="s">
        <v>614</v>
      </c>
      <c r="F71" s="41" t="s">
        <v>500</v>
      </c>
      <c r="G71" s="41" t="s">
        <v>572</v>
      </c>
      <c r="H71"/>
      <c r="I71" t="str">
        <f t="shared" si="1"/>
        <v>BC-65S BC-65N BC-95 BC65S BC65N BC95</v>
      </c>
    </row>
    <row r="72" spans="1:9" thickTop="1" thickBot="1" x14ac:dyDescent="0.3">
      <c r="A72" s="31" t="s">
        <v>364</v>
      </c>
      <c r="B72" s="35" t="s">
        <v>603</v>
      </c>
      <c r="C72" s="38" t="s">
        <v>432</v>
      </c>
      <c r="D72" s="7" t="s">
        <v>658</v>
      </c>
      <c r="E72" s="25" t="s">
        <v>614</v>
      </c>
      <c r="F72" s="41"/>
      <c r="G72" s="41"/>
      <c r="H72"/>
      <c r="I72" t="str">
        <f t="shared" si="1"/>
        <v xml:space="preserve"> </v>
      </c>
    </row>
    <row r="73" spans="1:9" thickTop="1" thickBot="1" x14ac:dyDescent="0.3">
      <c r="A73" s="31" t="s">
        <v>365</v>
      </c>
      <c r="B73" s="35" t="s">
        <v>604</v>
      </c>
      <c r="C73" s="38" t="s">
        <v>119</v>
      </c>
      <c r="D73" s="7" t="s">
        <v>658</v>
      </c>
      <c r="E73" s="25" t="s">
        <v>614</v>
      </c>
      <c r="F73" s="41"/>
      <c r="G73" s="41"/>
      <c r="H73"/>
      <c r="I73" t="str">
        <f t="shared" si="1"/>
        <v xml:space="preserve"> </v>
      </c>
    </row>
    <row r="74" spans="1:9" thickTop="1" thickBot="1" x14ac:dyDescent="0.3">
      <c r="A74" s="31" t="s">
        <v>366</v>
      </c>
      <c r="B74" s="35" t="s">
        <v>605</v>
      </c>
      <c r="C74" s="38" t="s">
        <v>126</v>
      </c>
      <c r="D74" s="7" t="s">
        <v>659</v>
      </c>
      <c r="E74" s="25" t="s">
        <v>614</v>
      </c>
      <c r="F74" s="41" t="s">
        <v>501</v>
      </c>
      <c r="G74" s="41" t="s">
        <v>573</v>
      </c>
      <c r="H74"/>
      <c r="I74" t="str">
        <f t="shared" si="1"/>
        <v>BC-W126 BCW126</v>
      </c>
    </row>
    <row r="75" spans="1:9" thickTop="1" thickBot="1" x14ac:dyDescent="0.3">
      <c r="A75" s="31" t="s">
        <v>367</v>
      </c>
      <c r="B75" s="35" t="s">
        <v>606</v>
      </c>
      <c r="C75" s="38" t="s">
        <v>127</v>
      </c>
      <c r="D75" s="7" t="s">
        <v>658</v>
      </c>
      <c r="E75" s="25" t="s">
        <v>614</v>
      </c>
      <c r="F75" s="41"/>
      <c r="G75" s="41"/>
      <c r="H75"/>
      <c r="I75" t="str">
        <f t="shared" si="1"/>
        <v xml:space="preserve"> </v>
      </c>
    </row>
    <row r="76" spans="1:9" thickTop="1" thickBot="1" x14ac:dyDescent="0.3">
      <c r="A76" s="31" t="s">
        <v>368</v>
      </c>
      <c r="B76" s="35" t="s">
        <v>607</v>
      </c>
      <c r="C76" s="38" t="s">
        <v>433</v>
      </c>
      <c r="D76" s="7" t="s">
        <v>658</v>
      </c>
      <c r="E76" s="25" t="s">
        <v>614</v>
      </c>
      <c r="F76" s="41"/>
      <c r="G76" s="41"/>
      <c r="H76"/>
      <c r="I76" t="str">
        <f t="shared" si="1"/>
        <v xml:space="preserve"> </v>
      </c>
    </row>
    <row r="77" spans="1:9" thickTop="1" thickBot="1" x14ac:dyDescent="0.3">
      <c r="A77" s="31" t="s">
        <v>369</v>
      </c>
      <c r="B77" s="35" t="s">
        <v>608</v>
      </c>
      <c r="C77" s="38" t="s">
        <v>130</v>
      </c>
      <c r="D77" s="7" t="s">
        <v>660</v>
      </c>
      <c r="E77" s="25" t="s">
        <v>614</v>
      </c>
      <c r="F77" s="41" t="s">
        <v>502</v>
      </c>
      <c r="G77" s="41" t="s">
        <v>574</v>
      </c>
      <c r="H77"/>
      <c r="I77" t="str">
        <f t="shared" si="1"/>
        <v>VW-BC10 VWBC10</v>
      </c>
    </row>
    <row r="78" spans="1:9" thickTop="1" thickBot="1" x14ac:dyDescent="0.3">
      <c r="A78" s="31" t="s">
        <v>370</v>
      </c>
      <c r="B78" s="35" t="s">
        <v>609</v>
      </c>
      <c r="C78" s="38" t="s">
        <v>132</v>
      </c>
      <c r="D78" s="7" t="s">
        <v>661</v>
      </c>
      <c r="E78" s="25" t="s">
        <v>614</v>
      </c>
      <c r="F78" s="41" t="s">
        <v>503</v>
      </c>
      <c r="G78" s="41" t="s">
        <v>575</v>
      </c>
      <c r="H78"/>
      <c r="I78" t="str">
        <f t="shared" si="1"/>
        <v>VW-BC20 VWBC20</v>
      </c>
    </row>
    <row r="79" spans="1:9" thickTop="1" thickBot="1" x14ac:dyDescent="0.3">
      <c r="A79" s="31" t="s">
        <v>371</v>
      </c>
      <c r="B79" s="35" t="s">
        <v>610</v>
      </c>
      <c r="C79" s="38" t="s">
        <v>134</v>
      </c>
      <c r="D79" s="7" t="s">
        <v>662</v>
      </c>
      <c r="E79" s="25" t="s">
        <v>614</v>
      </c>
      <c r="F79" s="41" t="s">
        <v>504</v>
      </c>
      <c r="G79" s="41" t="s">
        <v>576</v>
      </c>
      <c r="H79"/>
      <c r="I79" t="str">
        <f t="shared" si="1"/>
        <v>AA-VF8U AA-VF8USM AAVF8U AAVF8USM</v>
      </c>
    </row>
  </sheetData>
  <conditionalFormatting sqref="A1:B79 F80 E1:G79">
    <cfRule type="duplicateValues" dxfId="1" priority="2"/>
  </conditionalFormatting>
  <conditionalFormatting sqref="C1:C79">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Original Sheet</vt:lpstr>
      <vt:lpstr>Good Looks</vt:lpstr>
      <vt:lpstr>Charger list</vt:lpstr>
    </vt:vector>
  </TitlesOfParts>
  <Company>Grizli777</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User7</cp:lastModifiedBy>
  <cp:lastPrinted>2014-07-01T20:56:54Z</cp:lastPrinted>
  <dcterms:created xsi:type="dcterms:W3CDTF">2014-03-21T16:35:25Z</dcterms:created>
  <dcterms:modified xsi:type="dcterms:W3CDTF">2016-08-16T20:15:38Z</dcterms:modified>
</cp:coreProperties>
</file>