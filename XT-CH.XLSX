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tabRatio="487"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c r="B88" i="2"/>
  <c r="C88" i="2"/>
  <c r="B89" i="2"/>
  <c r="C89" i="2"/>
  <c r="B90" i="2"/>
  <c r="C90" i="2"/>
  <c r="B91" i="2"/>
  <c r="C91" i="2"/>
  <c r="B92" i="2"/>
  <c r="C92" i="2"/>
  <c r="B93" i="2"/>
  <c r="C93" i="2"/>
  <c r="D2" i="1" l="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<sst xmlns="http://schemas.openxmlformats.org/spreadsheetml/2006/main" count="738" uniqueCount="293">
  <si>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</si>
  <si>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</si>
  <si>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</si>
  <si>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</si>
  <si>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</si>
  <si>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</si>
  <si>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</si>
  <si>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</si>
  <si>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</si>
  <si>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</si>
  <si>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</si>
  <si>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</si>
  <si>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</si>
  <si>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</si>
  <si>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</si>
  <si>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</si>
  <si>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</si>
  <si>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</si>
  <si>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</si>
  <si>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</si>
  <si>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</si>
  <si>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</si>
  <si>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</si>
  <si>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</si>
  <si>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</si>
  <si>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</si>
  <si>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</si>
  <si>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</si>
  <si>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</si>
  <si>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</si>
  <si>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</si>
  <si>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</si>
  <si>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</si>
  <si>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</si>
  <si>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</si>
  <si>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</si>
  <si>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</si>
  <si>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</si>
  <si>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</si>
  <si>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</si>
  <si>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</si>
  <si>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</si>
  <si>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</si>
  <si>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</si>
  <si>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</si>
  <si>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</si>
  <si>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</si>
  <si>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</si>
  <si>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</si>
  <si>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</si>
  <si>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</si>
  <si>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</si>
  <si>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</si>
  <si>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</si>
  <si>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</si>
  <si>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</si>
  <si>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</si>
  <si>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</si>
  <si>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</si>
  <si>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</si>
  <si>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</si>
  <si>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</si>
  <si>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</si>
  <si>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</si>
  <si>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</si>
  <si>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</si>
  <si>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</si>
  <si>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</si>
  <si>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</si>
  <si>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</si>
  <si>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</si>
  <si>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</si>
  <si>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</si>
  <si>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</si>
  <si>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</si>
  <si>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</si>
  <si>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</si>
  <si>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</si>
  <si>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</si>
  <si>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</si>
  <si>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</si>
  <si>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</si>
  <si>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</si>
  <si>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</si>
  <si>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</si>
  <si>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</si>
  <si>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</si>
  <si>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</si>
  <si>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</si>
  <si>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</si>
  <si>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</si>
  <si>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</si>
  <si>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</si>
  <si>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</si>
  <si>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</si>
  <si>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</si>
  <si>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</si>
  <si>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</si>
  <si>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</si>
  <si>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</si>
  <si>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</si>
  <si>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</si>
  <si>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</si>
  <si>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</si>
  <si>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</si>
  <si>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</si>
  <si>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</si>
  <si>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</si>
  <si>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</si>
  <si>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</si>
  <si>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</si>
  <si>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</si>
  <si>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</si>
  <si>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</si>
  <si>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</si>
  <si>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</si>
  <si>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</si>
  <si>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</si>
  <si>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</si>
  <si>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</si>
  <si>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</si>
  <si>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</si>
  <si>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</si>
  <si>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</si>
  <si>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</si>
  <si>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</si>
  <si>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</si>
  <si>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</si>
  <si>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</si>
  <si>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</si>
  <si>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</si>
  <si>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</si>
  <si>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</si>
  <si>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</si>
  <si>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</si>
  <si>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</si>
  <si>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</si>
  <si>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</si>
  <si>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</si>
  <si>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</si>
  <si>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</si>
  <si>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</si>
  <si>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</si>
  <si>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</si>
  <si>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</si>
  <si>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</si>
  <si>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</si>
  <si>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</si>
  <si>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</si>
  <si>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</si>
  <si>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</si>
  <si>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</si>
  <si>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</si>
  <si>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</si>
  <si>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</si>
  <si>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</si>
  <si>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</si>
  <si>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</si>
  <si>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</si>
  <si>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</si>
  <si>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</si>
  <si>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</si>
  <si>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</si>
  <si>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XT+CH</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</si>
  <si>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</si>
  <si>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</si>
  <si>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</si>
  <si>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</si>
  <si>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</si>
  <si>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</si>
  <si>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</si>
  <si>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</si>
  <si>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</si>
  <si>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</si>
  <si>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</si>
  <si>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</si>
  <si>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</si>
  <si>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</si>
  <si>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</si>
  <si>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Paste</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</si>
  <si>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</si>
  <si>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</si>
  <si>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</si>
  <si>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</si>
  <si>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</si>
  <si>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</si>
  <si>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</si>
  <si>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</si>
  <si>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</si>
  <si>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</si>
  <si>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</si>
  <si>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</si>
  <si>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</si>
  <si>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</si>
  <si>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</si>
  <si>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</si>
  <si>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</si>
  <si>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</si>
  <si>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</si>
  <si>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</si>
  <si>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</si>
  <si>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</si>
  <si>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</si>
  <si>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</si>
  <si>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</si>
  <si>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</si>
  <si>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</si>
  <si>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</si>
  <si>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</si>
  <si>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</si>
  <si>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</si>
  <si>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</si>
  <si>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</si>
  <si>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</si>
  <si>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</si>
  <si>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</si>
  <si>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</si>
  <si>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</si>
  <si>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</si>
  <si>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</si>
  <si>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</si>
  <si>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</si>
  <si>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</si>
  <si>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</si>
  <si>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</si>
  <si>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</si>
  <si>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</si>
  <si>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</si>
  <si>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</si>
  <si>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</si>
  <si>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</si>
  <si>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</si>
  <si>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</si>
  <si>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Original</t>
  </si>
  <si>
    <t>Canon PowerShot ELPH 110 HS, Canon 110 HS, Canon ELPH 110 HS, Canon PowerShot 110 HS Canon PowerShot ELPH 115 IS, Canon 115 IS, Canon ELPH 115 IS, Canon PowerShot 115 Canon PowerShot ELPH 130 IS, Canon ELPH 130 IS, Canon PowerShot 130 IS Canon PowerShot ELPH 135, Canon ELPH 135, Canon PowerShot 135 Canon PowerShot ELPH 140 IS, Canon ELPH 140 IS, Canon PowerShot 140 IS Canon PowerShot ELPH 150 IS, Canon ELPH 150 IS, Canon PowerShot 150 IS Canon PowerShot ELPH 160, Canon ELPH 160, Canon PowerShot 160 Canon PowerShot ELPH 170 IS, Canon ELPH 170 IS, Canon PowerShot 170 IS Canon PowerShot ELPH 320 HS, Canon 320 HS, Canon ELPH 320 HS, Canon PowerShot 320 HS Canon PowerShot ELPH 340 HS, Canon 340 HS, Canon ELPH 340 HS, Canon PowerShot 340 HS Canon PowerShot ELPH 350 HS, Canon 350 HS, Canon ELPH 350 HS, Canon PowerShot 350 HS Canon IXUS 240 HS, Canon 240 HS, 240HS Canon PowerShot A2300, Canon A2300 Canon PowerShot A2400 IS, Canon A2400 IS, Canon A2400 Canon PowerShot A2500, Canon A2500 Canon PowerShot A2600, Canon A2600 Canon PowerShot A3400 IS, Canon A3400 IS, Canon A3400 Canon PowerShot A3500 IS, Canon A3500 IS, Canon A3500 Canon PowerShot A4000 IS, A4000 IS, Canon A4000 IS, Canon A4000 Canon PowerShot SX400 IS, SX400 IS, Canon SX400 IS, Canon SX400 Canon PowerShot SX410 IS, SX410 IS, Canon SX410 IS, Canon SX410</t>
  </si>
  <si>
    <t>Canon NB11L, Canon NB-11L, NB-11LH, NB11LH</t>
  </si>
  <si>
    <t>Canon PowerShot S30 / Canon S30 Canon PowerShot S40 / Canon S40 Canon PowerShot S45 /Canon S45 Canon PowerShot S50 /Canon S50 Canon PowerShot S55 / Canon S55 Canon PowerShot S60 /Canon S60 Canon PowerShot S70 /Canon S70 Canon PowerShot S80 / Canon S80 Canon PowerShot G7 / Canon G7 Canon PowerShot G9 / Canon G9 Canon DC310 Canon DC320 Canon DC330 Canon DC410 Canon DC420 Canon HV20 Canon HG10 Canon Digital Rebel XT / Canon Rebel XT / Canon XT Canon Digital Rebel XTi /Canon Rebel XTi / Canon XTi Canon EOS Kiss Digital N Canon EOS-350D, EOS 350D / Canon 350D Canon EOS-400D, EOS 400D / Canon 440D Canon Optura 30 / Optura 30 Canon Optura 40 / Optura 40 Canon Optura 50 / Optura 50 Canon Optura 400 / Optura 400 Canon Optura 500 / Optura 500 Canon Optura 60 / Optura 60 Canon ZR-100 / ZR100 Canon ZR-200 / ZR200 Canon ZR-300 / ZR300 Canon ZR-400 / ZR400 Canon ZR-500 / ZR500 Canon ZR-600 / ZR600 Canon ZR-700 / ZR700 Canon Elura 40MC / Elura 40MC Canon Elura 50 / Elura 50 Canon Elura 60 / Elura 60 Canon Elura 65 / Elura 65 Canon Elura 70 / Elura 70 Canon Elura 80 / Elura 80 Canon Elura 85 / Elura 85 Canon Elura 90 / Elura 90 Canon FVM20 / FVM20 Canon FVM30 / FVM30 Canon FVM100 KIT / FVM100 Canon FVM200 / FVM200 Canon FV500 / FV 500 Canon IXY DV3 / IXY DV3 Canon IXY DVM3 / IXY DMV3 Canon IXY DV5 / IXY DV 5 Canon MV5 / MV 5 Canon MV5i / MV 5i Canon MV5iMC, MV5i MC Canon MV6iMC, MV6i MC Canon MV800, MV-800 Canon MV830, MV-830 Canon MV830i, MV-830i Canon MV850i, MV-850i Canon MV880X, MV-880X Canon MV920, MV-920 Canon MVX20i, MV X20i, MVX-20i Canon MVX25i, MV X25i, MVX-25i Canon MVX30i, MV X30i, MVX-30i Canon MVX35i, MV X35i, MVX-35i Canon MVX40i, MV X40i, MVX-40i Canon MVX45i, MV X45i, MVX-45i Canon MVX200, MV X200, MVX-200 Canon MVX200i, MV X200i, MVX-200i Canon MVX250i, MV X250i, MVX-250i Canon MVX300i, MV X300i, MVX-300i Canon MVX330i, MV X330i, MVX-330i Canon MVX350i, MV X350i, MVX-350i Canon VIXIA HF R10, HFR10 Canon VIXIA HF R11, HFR11 Canon VIXIA HF R100, HFR100</t>
  </si>
  <si>
    <t>Canon BP-2L5, BP2L5, BTI-CNNB2L, Battery-Biz B-9581, BatteryValues B-9581, BTI BTI-CNNB2L, Canon 7302A001AA, Canon DDNB-2L, Canon HS-DCL2L, Canon LIC2L12, Canon NB2L, Canon NB2LH, Canon NB-2L, Canon NB-2LH, Delkin DDNB-2L, DigiPower BP-CN2L, DSMiller B-9581, Duracell DRC2L, Duracell DRC2LRES, Energizer ER-D120, GP VCL004, Hahnel HL-HL-2L, Hama 47219, Hi-Capacity B-9581, IDP PR-109DG, Lenmar DLC2L, Lenmar DLC2L12, Lenmar LIC2LI2, Maxell B-9581, Maxell DC3778, Polaroid B-9581, Polaroid PR-109DG, Power Battery BP-CN2L, Rayovac RV-DC1200, Sakar BP-2LCL, Uniross VB102186, US Power BCD1067, Varta P38, Vivanco BP-0567</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</si>
  <si>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</si>
  <si>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</si>
  <si>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</si>
  <si>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Canon Powershot ELPH 500 HS, 500HS, Canon 500 HS, ELPH 500 Canon Powershot SD770 IS, SD770IS, SD770 IS, Canon SD770 IS Canon Powershot SD980 IS, SD980IS, SD980 IS, Canon SD980 IS Canon Powershot SD1200 IS, SD1200IS, SD1200 IS, Canon SD1200 IS Canon Powershot SD1300 IS, SD1300IS, Canon SD1300 IS, Canon SD1300IS Canon Powershot SD3500 IS, SD3500IS, Canon SD3500 IS, Canon SD3500IS Canon Powershot SD4000 IS, SD4000IS, Canon SD4000 IS, Canon SD4000IS Canon Powershot D10, Canon D10 IS, Canon D 10, Canon D10 Canon Powershot D20, Canon D20, Canon D 20 Canon Powershot D30, Canon D30 Canon Powershot S90, Canon S90 IS, PowerShot S90 Canon Powershot S95,S 95 Canon, PowerShot S95 Canon Powershot S120, Canon S120, Powershot S120 Canon Powershot SX170 IS, Canon SX170 Canon Powershot SX240 HS Canon Powershot SX260 HS Canon Powershot SX270 HS Canon Powershot SX280 HS Canon Powershot SX500 IS Canon Powershot SX510 HS, Canon SX510 Canon Powershot SX520 HS, Canon SX520 Canon Powershot SX530 HS, Canon SX530 Canon Powershot SX600 HS, Canon SX600 Canon Powershot SX610 HS, Canon SX610 Canon Powershot SX700 HS, Canon SX700 Canon Powershot SX710 HS, Canon SX710 Canon IXUS 85 IS, IXUS 85 IS Canon IXUS 95 IS, IXUS 95 IS Canon IXY Digital 25 IS Canon Digital IXUS 200 IS Canon Digital IXUS 210 Canon Digital IXUS 105</t>
  </si>
  <si>
    <t>Canon NB6L, Canon NB-6L, Canon NB-6LH, Canon NB6LH, 2607B001</t>
  </si>
  <si>
    <t>Canon Powershot G10, Canon G10, PowerShot G10 Canon Powershot G11, Canon G11, PowerShot G11 Canon Powershot G12, Canon G12, PowerShot G12 Canon PowerShot SX30 IS, Canon SX 30 IS, SX30IS, PowerShot SX 30 IS,</t>
  </si>
  <si>
    <t>Canon NB7L, Canon NB-7L, 3153B001</t>
  </si>
  <si>
    <t>Canon Powershot A2200, Canon A2200, Power Shot A2200 Canon Powershot A3000 IS, A3000IS, A3000 IS, Canon A3000, Canon A3000 IS Canon Powershot A3100 IS, A3100IS, A3100 IS, Canon A3100, Canon A3100 IS Canon Powershot A3200 IS, A3200IS, A3200 IS, Canon A3200, Canon A3200 IS Canon Powershot A3300 IS, A3300IS, A3300 IS, Canon A3300, Canon A3300 IS</t>
  </si>
  <si>
    <t>Canon NB8L, Canon NB-8L</t>
  </si>
  <si>
    <t>Canon PowerShot N Canon PowerShot N2 Canon Powershot ELPH 510 HS, 510HS Canon Powershot ELPH 520 HS, 520HS Canon Powershot ELPH 530 HS, 530HS Canon Powershot SD4500 IS, SD4500IS Canon IXUS 1000 HS, IXUS 1000HS Canon IXY 50S</t>
  </si>
  <si>
    <t>Canon NB9L, Canon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</si>
  <si>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t>
  </si>
  <si>
    <t>Fujifilm NP-45, NP45, NP-45A, NP45A, NP-45S, NP45S</t>
  </si>
  <si>
    <t>Fujifilm XQ1 Fujifilm XQ2</t>
  </si>
  <si>
    <t>Fujifilm NP-48, NP48</t>
  </si>
  <si>
    <t>EX-V7, EXV7, V7 EX-V8, EXV8, V8 EX-V7SR, EXV7SR, V7SR EX-V8SR, EXV8SR, V8SR</t>
  </si>
  <si>
    <t>Casio NP-50, NP50, Casio NP-50DBA, NP50DBA</t>
  </si>
  <si>
    <t>Fujifilm NP-85, NP85</t>
  </si>
  <si>
    <t>Fujifilm FinePix S1 Fujifilm FinePix SL1000 Fujifilm FinePix SL305 Fujifilm FinePix SL300 Fujifilm FinePix SL280 Fujifilm FinePix SL260 Fujifilm FinePix SL240"</t>
  </si>
  <si>
    <t>Fujifilm X30 Fujifilm X100 Fujifilm X100S Fujifilm X100T Fujifilm X-S1 Fujifilm FinePix F30 Fujifilm FinePix F31 fd, F31fd Fujifilm FinePix Real 3D W1</t>
  </si>
  <si>
    <t>Sony NP-BX1, Sony NPBX1.</t>
  </si>
  <si>
    <t>AC-VQH10, ACVQH10, VQH10 Alpha DSLR-A230, A230 Alpha DSLR-A290, A290 Alpha DSLR-A330, A330 Alpha DSLR-A380, A380 Alpha DSLR-A390, A390 Cyber-shot DSC-HX1, DSCHX1, HX1 Cyber-shot DSC-HX100, DSCHX100, HX100 Cyber-shot DSC-HX200, DSCHX200, HX200 DCR-DVD103, DCRDVD103, DVD103 DCR-DVD105, DCRDVD105, DVD105 DCR-DVD106, DCRDVD106, DVD106 DCR-DVD108, DCRDVD108, DVD108 DCR-DVD109, DCRDVD109, DVD109 DCR-DVD202, DCRDVD202, DVD202 DCR-DVD203, DCRDVD203, DVD203 DCR-DVD205, DCRDVD205, DVD205 DCR-DVD305, DCRDVD305, DVD305 DCR-DVD306, DCRDVD306, DVD306 DCR-DVD308, DCRDVD308, DVD308 DCR-DVD403, DCRDVD403, DVD403 DCR-DVD404, DCRDVD404, DVD404 DCR-DVD405, DCRDVD405, DVD405 DCR-DVD406, DCRDVD406, DVD406 DCR-DVD407, DCRDVD407, DVD407 DCR-DVD408, DCRDVD408, DVD408 DCR-DVD505, DCRDVD505, DVD505 DCR-DVD506, DCRDVD506, DVD506 DCR-DVD508, DCRDVD508, DVD508 DCR-DVD602, DCRDVD602, DVD602 DCR-DVD605, DCRDVD605, DVD605 DCR-DVD610, DCRDVD610, DVD610 DCR-DVD650, DCRDVD650, DVD650 DCR-DVD653, DCRDVD653, DVD653 DCR-DVD703, DCRDVD703, DVD703 DCR-DVD705, DCRDVD705, DVD705 DCR-DVD708, DCRDVD708, DVD708 DCR-DVD710, DCRDVD710, DVD710 DCR-DVD755, DCRDVD755, DVD755 DCR-DVD803, DCRDVD803, DVD803 DCR-DVD805, DCRDVD805, DVD805 DCR-DVD808, DCRDVD808, DVD808 DCR-DVD810, DCRDVD810, DVD810 DCR-DVD850, DCRDVD850, DVD850 DCR-DVD905, DCRDVD905, DVD905 DCR-DVD908, DCRDVD908, DVD908 DCR-DVD910, DCRDVD910, DVD910 DCR-DVD92, DCRDVD92, DVD92 DCR-HC16, DCRHC16, HC16 DCR-HC17, DCRHC17, HC17 DCR-HC18, DCRHC18, HC18 DCR-HC19, DCRHC19, HC19 DCR-HC20, DCRHC20, HC20 DCR-HC21, DCRHC21, HC21 DCR-HC22, DCRHC22, HC22 DCR-HC23, DCRHC23, HC23 DCR-HC24, DCRHC24, HC24 DCR-HC26, DCRHC26, HC26 DCR-HC27, DCRHC27, HC27 DCR-HC28, DCRHC28, HC28 DCR-HC30, DCRHC30, HC30 DCR-HC32, DCRHC32, HC32 DCR-HC33, DCRHC33, HC33 DCR-HC35, DCRHC35, HC35 DCR-HC36, DCRHC36, HC36 DCR-HC37, DCRHC37, HC37 DCR-HC38, DCRHC38, HC38 DCR-HC39, DCRHC39, HC39 DCR-HC40, DCRHC40, HC40 DCR-HC41, DCRHC41, HC41 DCR-HC42, DCRHC42, HC42 DCR-HC43, DCRHC43, HC43 DCR-HC44, DCRHC44, HC44 DCR-HC45, DCRHC45, HC45 DCR-HC46, DCRHC46, HC46 DCR-HC47, DCRHC47, HC47 DCR-HC48, DCRHC48, HC48 DCR-HC5, DCRHC5, HC5 DCR-HC52, DCRHC52, HC52 DCR-HC62, DCRHC62, HC62 DCR-HC65, DCRHC65, HC65 DCR-HC7, DCRHC7, HC7 DCR-HC8, DCRHC8, HC8 DCR-HC85, DCRHC85, HC85 DCR-HC94, DCRHC94, HC94 DCR-HC96, DCRHC96, HC96 DCR-SR10, DCRSR10, SR10 DCR-SR100, DCRSR100, SR100 DCR-SR11, DCRSR11, SR11 DCR-SR12, DCRSR12, SR12 DCR-SR190, DCRSR190, SR190 DCR-SR200, DCRSR200, SR200 DCR-SR220, DCRSR220, SR220 DCR-SR290, DCRSR290, SR290 DCR-SR30, DCRSR30, SR30 DCR-SR300, DCRSR300, SR300 DCR-SR32, DCRSR32, SR32 DCR-SR33, DCRSR33, SR33 DCR-SR35, DCRSR35, SR35 DCR-SR36, DCRSR36, SR36 DCR-SR37, DCRSR37, SR37 DCR-SR38, DCRSR38, SR38 DCR-SR40, DCRSR40, SR40 DCR-SR42, DCRSR42, SR42 DCR-SR45, DCRSR45, SR45 DCR-SR46, DCRSR46, SR46 DCR-SR47, DCRSR47, SR47 DCR-SR48, DCRSR48, SR48 DCR-SR50, DCRSR50, SR50 DCR-SR52, DCRSR52, SR52 DCR-SR55, DCRSR55, SR55 DCR-SR57, DCRSR57, SR57 DCR-SR60, DCRSR60, SR60 DCR-SR62, DCRSR62, SR62 DCR-SR65, DCRSR65, SR65 DCR-SR67, DCRSR67, SR6 DCR-SR70, DCRSR70, SR70 DCR-SR72, DCRSR72, SR72 DCR-SR75, DCRSR75, SR75 DCR-SR77, DCRSR77, SR77 DCR-SR8, DCRSR8, SR8 DCR-SR80, DCRSR80, SR80 DCR-SR82, DCRSR82, SR82 DCR-SR85, DCRSR85, SR85 DCR-SR87, DCRSR87, SR87 DCR-SR90, DCRSR90, SR90 DCR-SX30, DCRSX30, SX30 DCR-SX31, DCRSX31, SX31 DCR-SX40, DCRSX40, SX40 DCR-SX41, DCRSX41, SX41 DCR-SX50, DCRSX50, SX50 DCR-SX60, DCRSX60, SX60 DCR-UX5, DCRUX5, UX5 DCR-UX7, DCRUX7, UX7 HDR-CX100, HDRCX100, CX100 HDR-CX105, HDRCX105, CX105 HDR-CX106, HDRCX106, CX106 HDR-CX11, HDRCX11, CX11 HDR-CX12, HDRCX12, CX12 HDR-CX500V, HDRCX500V, CX500V HDR-CX505VE, HDRCX505VE, CX505VE HDR-CX520V, HDRCX520V, CX520V HDR-CX6, HDRCX6, CX6 HDR-CX7, HDRCX7, CX7 HDR-HC28, HDRHC28, HC28 HDR-HC3, HDRHC3, HC3 HDR-HC38, HDRHC38, HC38 HDR-HC48, HDRHC48, HC48 HDR-HC5, HDRHC5, HC5 HDR-HC62, HDRHC62, HC62 HDR-HC7, HDRHC7, HC7 HDR-HC9, HDRHC9, HC9 HDR-HC96, HDRHC96, HC96 HDR-SR10, HDRSR10, SR10 HDR-SR100, HDRSR100, SR100 HDR-SR11, HDRSR11, SR11 HDR-SR12, HDRSR12, SR12 HDR-SR200, HDRSR200, SR200 HDR-SR220, HDRSR220, SR220 HDR-SR30, HDRSR30, SR30 HDR-SR300, HDRSR300, SR300 HDR-SR40, HDRSR40, SR40 HDR-SR42, HDRSR42, SR42 HDR-SR45, HDRSR45, SR45 HDR-SR47, HDRSR47, SR47 HDR-SR5, HDRSR5, SR5 HDR-SR50, HDRSR50, SR50 HDR-SR56, HDRSR56, SR56 HDR-SR5C, HDRSR5C, SR5C HDR-SR60, HDRSR60, SR60 HDR-SR62, HDRSR62, SR62 HDR-SR67, HDRSR67, SR67 HDR-SR7, HDRSR7, SR7 HDR-SR70, HDRSR70, SR70 HDR-SR8, HDRSR8, SR8 HDR-SR80, HDRSR80, SR80 HDR-SR82, HDRSR82, SR82 HDR-SR87, HDRSR87, SR87 HDR-SR90, HDRSR90, SR90 HDR-TG1, HDRTG1, TG1 HDR-TG3, HDRTG3, TG3 HDR-TG5V, HDRTG5V, TG5V HDR-UX10, HDRUX10, UX10 HDR-UX19, HDRUX19, UX19 HDR-UX20, HDRUX20, UX20 HDR-UX3, HDRUX3, UX3 HDR-UX5, HDRUX5, UX5 HDR-UX7, HDRUX7, UX7 HDR-XR100, HDRXR100, XR100 HDR-XR105, HDRXR105, XR105 HDR-XR106, HDRXR106, XR106 HDR-XR200V, HDRXR200V, XR200V HDR-XR500V, HDRXR500V, XR500V HDR-XR520V, HDRXR520V, XR520V HXR-MC1, HXRMC1, MC1</t>
  </si>
  <si>
    <t>Sony H Series: NP-FH40, NPFH40, NP-FH50, NPFH50, NP-FH60, NPFH60</t>
  </si>
  <si>
    <t>NP-FV40, NPFV40, NP-FV50, NPFV50, NP-FV60, NPFV60, NP-FV0, NPFV30</t>
  </si>
  <si>
    <t xml:space="preserve"> Fuji NP-W126, NPW126</t>
  </si>
  <si>
    <t>VW-VBG6, VW-VBG6K, VW-VBG6E, VW-VBG6PP, VWVBG6, VWVBG6K, VWVBG6E, VWVBG6PP.</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</si>
  <si>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</si>
  <si>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BN-VG121, BN-VG121U, BN-VG121E, BN-VG121US, BN-VG121USM, BNVG121, BNVG121U, BNVG121E, BNVG121USM, LY37166-002B, LY37166-002C</t>
  </si>
  <si>
    <t>Nikon Coolpix P1 Nikon Coolpix P2 Nikon Coolpix S1 Nikon Coolpix S2 Nikon Coolpix S3 Nikon Coolpix S5 Nikon Coolpix S50 Nikon Coolpix S50c Nikon Coolpix S51 Nikon Coolpix S51c Nikon Coolpix S52 Nikon Coolpix S52c Nikon Coolpix S6 Nikon Coolpix S7 Nikon Coolpix S7c Nikon Coolpix S8 Nikon Coolpix S9 Nikon Cool-Station MV-11, MV11 Nikon Cool-Station MV-12, MV12</t>
  </si>
  <si>
    <t>Nikon EN-EL8, ENEL8</t>
  </si>
  <si>
    <t>Nikon D40 DSLR, Nikon D40 Nikon D40X DSLR, Nikon D40X Nikon D60 DSLR, Nikon D60 Nikon D3000 DSLR, Nikon D3000 Nikon D5000 DSLR, Nikon D5000</t>
  </si>
  <si>
    <t>Nikon EN-EL9, ENEL9, EN-EL9a, ENEL9a, EN-EL9e, ENEL9e</t>
  </si>
  <si>
    <t>Gopro HD HERO3 White Edition Gopro HD HERO3 Black Edition Gopro HD HERO3 Silver Edition GoPro HERO3+ Black Edition GoPro HERO3+ Silver Edition</t>
  </si>
  <si>
    <t>Pentax K-50 Pentax K-30 Pentax K-r Pentax K-S1 Pentax K-S2</t>
  </si>
  <si>
    <t>Pentax D-LI109, DLI109, Pentax D-L1109, DL-1109, DL1109</t>
  </si>
  <si>
    <t>µ 550WP µ 700 µ 7000 µ 710 µ 720 µ 720SW µ 725SW µ 730 µ 740 µ 750 µ 760 µ 770SW µ 780 µ 790SW µ 795SW µ 820 µ 830 µ 840 µ 850SW µ 1040 µ 1050SW µ 1060 µ 1070 µ 1200 µ 5000 D-630, D630 D-720, D720 D-725, D725 D-730, D730 FE-150, FE150 FE-160, FE160 FE-190, FE190 FE-220, FE220 FE-230, FE230 FE-240, FE240 FE-250, FE250 FE-280, FE280 FE-290, FE290 FE-300, FE300 FE-320, FE320 FE-330, FE330 FE-340, FE340 FE-350, FE350 FE-360, FE360 FE-3000, FE3000 FE-3010, FE3010 FE-4000, FE4000 FE-4010, FE4010 FE-4030, FE4030 FE-5000, FE5000 FE-5010, FE5010 FE-5020, FE5020 FE-5500, FE5500 IR-300, IR300 SP-700, SP700 Stylus 550WP Stylus 700 Stylus 710 Stylus 720SW Stylus 725 Stylus 730 Stylus 740 Stylus 750 Stylus 760 Stylus 770SW Stylus 780 Stylus 790SW Stylus 820 Stylus 830 Stylus 840 Stylus 850SW Stylus 1040 Stylus 1050SW Stylus 1200 Stylus 5010, Stylus 5010 Stylus 7000, Stylus 7000 Stylus 7010, Stylus 7010 Stylus 7020, Stylus 7020 Stylus 7030, Stylus 7030 Stylus 7040, Stylus 7040 TG-310, TG310 TG-320, TG320 Tough-3000, Tough 3000 VG-165, VG165 VG-180, VG180 VH-210, VH210 VG-165, VG165 VG-180, VG180 VR-310, VR310 VR-320, VR320 VR-330, VR330 X-600, X600 X-730, X730 X-785, X785 X-790, X790 X-795, X795 X-800, X800 X-835, X835 X-845, X845 X-855, X855 X-875, X875</t>
  </si>
  <si>
    <t>Olympus LI-40B, Olympus LI40B, Olympus LI-42B, Olympus LI42B</t>
  </si>
  <si>
    <t>Olympus MJU 1010 Olympus MJU 1020 Olympus MJU 1030SW Olympus SH-21, Olympus SH21 Olympus SH-25MR, Olympus SH25 Olympus SP-720UZ, SP720UZ Olympus SP-800UZ, SP800UZ Olympus SP-810UZ, SP810UZ Olympus Stylus 1010 Olympus Stylus 1020 Olympus Stylus 1030SW, 1030SW Olympus Stylus 9000 Olympus Stylus Tough-6000, Tough 6000 Olympus Stylus Tough-6020, Tough 6020 Olympus Stylus Tough-8000, Tough 8000 Olympus Stylus Tough-8010, Tough 8010 Olympus SZ-10, SZ10 Olympus SZ-11, SZ11 Olympus SZ-12, SZ12 Olympus SZ-14, SZ14 Olympus SZ-15, SZ15 Olympus SZ-16, SZ16 Olympus SZ-17, SZ17 Olympus SZ-20, SZ20 Olympus SZ-30MR, SZ30MR Olympus SZ-31MR, SZ31MR Olympus Tough TG-610, TG610 Olympus Tough TG-620, TG620 Olympus Tough TG-630, TG630 Olympus Tough TG-810, TG810 Olympus Tough TG-820, TG820 Olympus Tough TG-830, TG830 Olympus Tough TG-850, TG850 Olympus Tough TG-860 iHS, TG860 Olympus VG-170, Olympus VG170 Olympus VG-190, Olympus VG190 Olympus VH-410, Olympus VH410 Olympus VH-510, Olympus VH510 Olympus VH-520, Olympus VH520 Olympus VR-340, Olympus VR340 Olympus VR-350, Olympus VR350 Olympus VR-360, Olympus VR360 Olympus VR-370, Olympus VR370 Olympus XZ-1, XZ1 Olympus XZ-10, XZ10</t>
  </si>
  <si>
    <t>Olympus LI-50B, Olympus LI50B</t>
  </si>
  <si>
    <t>Olympus D-705, D705 Olympus D-710, D710 Olympus D-715, D715 Olympus FE-4020, FE4020 Olympus FE-4040, FE4040 Olympus VG-110, VG110 Olympus VG-120, VG120 Olympus VG-140, VG140 Olympus VG-150, VG150 Olympus VG-160, VG160 Olympus VR-120, VR120 Olympus VR-130, VR130 Olympus VR-140, VR140 Olympus VR-145, VR145 Olympus X-940, X940</t>
  </si>
  <si>
    <t>Olympus LI-70B, Olympus LI70B</t>
  </si>
  <si>
    <t>Pentax K-01 SLR, K01 DSLR Pentax K-3 SLR, K-3 DSLR Pentax K-3 II SLR, K-3 II DSLR Pentax K-5 SLR, K5 DSLR Pentax K-5 II SLR, K5 II DSLR, K5II Pentax K-5 IIS SLR, K5 IIS DSLR, K5IIS Pentax K-7 SLR, K7 DSLR Pentax 645D Pentax 645Z</t>
  </si>
  <si>
    <t>Pentax D-LI90, DLI90, Pentax D-L190, DL-190, DL190, D-LI90E</t>
  </si>
  <si>
    <t>Olympus XZ-2 iHS, XZ2 Olympus SH-50 iHS, SH50 Olympus SH-1, SH1 Olympus Stylus SP-100, SP100 Olympus Stylus Tough TG-1 iHS, TG1 Olympus Stylus Tough TG-2 iHS, TG2 Olympus Stylus Tough TG-3, TG3</t>
  </si>
  <si>
    <t>Olympus LI-90B, Olympus LI90B, LI-92B, LI92B</t>
  </si>
  <si>
    <t>Canon EOS Rebel T3 Canon EOS 1100D Canon EOS Kiss X50 Canon EOS Rebel T5 Canon EOS 1200D Canon EOS Rebel T6 Canon EOS 1300D</t>
  </si>
  <si>
    <t>Canon LP-E10, Canon LPE10, 5108B002</t>
  </si>
  <si>
    <t>Canon EOS M / EOS-M, Canon M Canon EOS M2, Canon M2 Canon EOS M10, Canon M10 Canon EOS Rebel SL1, Canon Rebel SL1, Canon SL1 Canon EOS 100D, Canon 100D</t>
  </si>
  <si>
    <t>Canon LP-E12, Canon LPE12, 6760B002</t>
  </si>
  <si>
    <t>Canon EOS Rebel XSi Canon EOS Rebel XS Canon EOS 450D Canon EOS 500D Canon EOS 1000D Canon EOS Kiss F Canon EOS Kiss X2 Canon EOS Kiss X3 Canon EOS Rebel T1i</t>
  </si>
  <si>
    <t>Canon LP-E5, Canon LPE5, 3039B001</t>
  </si>
  <si>
    <t>Canon EOS 5D Mark II Canon EOS 5D Mark III Canon EOS 5DS Canon EOS 5DS R Canon 6D Canon EOS 7D Canon EOS 7D Mark II Canon EOS 60D Canon EOS 60Da Canon EOS 70D Canon XC10</t>
  </si>
  <si>
    <t>Canon LP-E6, Canon LP-E6N, Canon LC-E6, Canon LCE6, 3347B001, CBC-E6</t>
  </si>
  <si>
    <t>Canon EOS 550D Canon EOS 600D Canon EOS 650D Canon EOS 700D Canon EOS Kiss X4 Canon EOS Kiss X5 Canon EOS Kiss X6 Canon EOS Rebel T2i Canon EOS Rebel T3i Canon EOS Rebel T4i Canon EOS Rebel T5i</t>
  </si>
  <si>
    <t>Canon LP-E8, Canon LPE8, 4515B002</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</si>
</sst>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71" activePane="bottomLeft" state="frozen"/>
      <selection pane="bottomLeft" activeCell="A61" sqref="A61:XFD61"/>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topLeftCell="A7" zoomScaleNormal="100" workbookViewId="0">
      <selection activeCell="C14" sqref="A1:F93"/>
    </sheetView>
  </sheetViews>
  <sheetFormatPr defaultRowHeight="15" x14ac:dyDescent="0.25"/>
  <cols>
    <col min="1" max="1" width="12.7109375" style="9" bestFit="1" customWidth="1"/>
    <col min="2" max="2" width="11.7109375" style="10" bestFit="1" customWidth="1"/>
    <col min="3" max="3" width="15.28515625" style="15" bestFit="1" customWidth="1"/>
    <col min="4" max="4" width="10.5703125" style="7" bestFit="1" customWidth="1"/>
    <col min="5" max="5" width="9.28515625" style="21" customWidth="1"/>
    <col min="6" max="6" width="8.42578125" style="24" customWidth="1"/>
    <col min="7" max="7" width="5.85546875" style="16" customWidth="1"/>
    <col min="8" max="8" width="33" style="18" customWidth="1"/>
    <col min="9" max="9" width="10.5703125" bestFit="1" customWidth="1"/>
  </cols>
  <sheetData>
    <row r="1" spans="1:8" s="14" customFormat="1" ht="21" x14ac:dyDescent="0.35">
      <c r="A1" s="11" t="s">
        <v>233</v>
      </c>
      <c r="B1" s="12" t="s">
        <v>162</v>
      </c>
      <c r="C1" s="17" t="s">
        <v>163</v>
      </c>
      <c r="D1" s="13" t="s">
        <v>179</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 t="shared" ref="C3:C66" si="1">"XTCH"&amp;B3</f>
        <v>XTCHBP1130</v>
      </c>
      <c r="D3" s="7" t="s">
        <v>91</v>
      </c>
      <c r="E3" s="21" t="s">
        <v>164</v>
      </c>
      <c r="F3" s="24" t="s">
        <v>165</v>
      </c>
      <c r="H3" s="18" t="s">
        <v>141</v>
      </c>
    </row>
    <row r="4" spans="1:8" x14ac:dyDescent="0.25">
      <c r="A4" s="8" t="s">
        <v>101</v>
      </c>
      <c r="B4" s="10" t="str">
        <f t="shared" si="0"/>
        <v>ENEL23</v>
      </c>
      <c r="C4" s="15" t="str">
        <f t="shared" si="1"/>
        <v>XTCHENEL23</v>
      </c>
      <c r="D4" s="7" t="s">
        <v>89</v>
      </c>
      <c r="E4" s="21" t="s">
        <v>166</v>
      </c>
      <c r="H4" s="18" t="s">
        <v>141</v>
      </c>
    </row>
    <row r="5" spans="1:8" x14ac:dyDescent="0.25">
      <c r="A5" s="9" t="s">
        <v>102</v>
      </c>
      <c r="B5" s="10" t="str">
        <f t="shared" si="0"/>
        <v>NB10L</v>
      </c>
      <c r="C5" s="15" t="str">
        <f t="shared" si="1"/>
        <v>XTCHNB10L</v>
      </c>
      <c r="D5" s="7" t="s">
        <v>27</v>
      </c>
      <c r="E5" s="21" t="s">
        <v>167</v>
      </c>
      <c r="F5" s="24" t="s">
        <v>168</v>
      </c>
      <c r="H5" s="18" t="s">
        <v>141</v>
      </c>
    </row>
    <row r="6" spans="1:8" x14ac:dyDescent="0.25">
      <c r="A6" s="9" t="s">
        <v>103</v>
      </c>
      <c r="B6" s="10" t="str">
        <f t="shared" si="0"/>
        <v>NB11L</v>
      </c>
      <c r="C6" s="15" t="str">
        <f t="shared" si="1"/>
        <v>XTCHNB11L</v>
      </c>
      <c r="D6" s="7" t="s">
        <v>26</v>
      </c>
      <c r="E6" s="21" t="s">
        <v>169</v>
      </c>
      <c r="H6" s="18" t="s">
        <v>141</v>
      </c>
    </row>
    <row r="7" spans="1:8" x14ac:dyDescent="0.25">
      <c r="A7" s="9" t="s">
        <v>104</v>
      </c>
      <c r="B7" s="10" t="str">
        <f t="shared" si="0"/>
        <v>NB2LH</v>
      </c>
      <c r="C7" s="15" t="str">
        <f t="shared" si="1"/>
        <v>XTCHNB2LH</v>
      </c>
      <c r="D7" s="7" t="s">
        <v>18</v>
      </c>
      <c r="E7" s="21" t="s">
        <v>170</v>
      </c>
      <c r="H7" s="18" t="s">
        <v>141</v>
      </c>
    </row>
    <row r="8" spans="1:8" x14ac:dyDescent="0.25">
      <c r="A8" s="9" t="s">
        <v>105</v>
      </c>
      <c r="B8" s="10" t="str">
        <f t="shared" si="0"/>
        <v>NB4L</v>
      </c>
      <c r="C8" s="15" t="str">
        <f t="shared" si="1"/>
        <v>XTCHNB4L</v>
      </c>
      <c r="D8" s="7" t="s">
        <v>32</v>
      </c>
      <c r="E8" s="22" t="s">
        <v>171</v>
      </c>
      <c r="F8" s="24" t="s">
        <v>172</v>
      </c>
      <c r="H8" s="18" t="s">
        <v>141</v>
      </c>
    </row>
    <row r="9" spans="1:8" x14ac:dyDescent="0.25">
      <c r="A9" s="9" t="s">
        <v>106</v>
      </c>
      <c r="B9" s="10" t="str">
        <f t="shared" si="0"/>
        <v>NB5L</v>
      </c>
      <c r="C9" s="15" t="str">
        <f t="shared" si="1"/>
        <v>XTCHNB5L</v>
      </c>
      <c r="D9" s="7" t="s">
        <v>31</v>
      </c>
      <c r="E9" s="21" t="s">
        <v>173</v>
      </c>
      <c r="F9" s="24" t="s">
        <v>174</v>
      </c>
      <c r="H9" s="18" t="s">
        <v>141</v>
      </c>
    </row>
    <row r="10" spans="1:8" x14ac:dyDescent="0.25">
      <c r="A10" s="9" t="s">
        <v>107</v>
      </c>
      <c r="B10" s="10" t="str">
        <f t="shared" si="0"/>
        <v>NB6L</v>
      </c>
      <c r="C10" s="15" t="str">
        <f t="shared" si="1"/>
        <v>XTCHNB6L</v>
      </c>
      <c r="D10" s="7" t="s">
        <v>30</v>
      </c>
      <c r="E10" s="21" t="s">
        <v>175</v>
      </c>
      <c r="F10" s="24" t="s">
        <v>176</v>
      </c>
      <c r="H10" s="18" t="s">
        <v>141</v>
      </c>
    </row>
    <row r="11" spans="1:8" x14ac:dyDescent="0.25">
      <c r="A11" s="9" t="s">
        <v>108</v>
      </c>
      <c r="B11" s="10" t="str">
        <f t="shared" si="0"/>
        <v>NB7L</v>
      </c>
      <c r="C11" s="15" t="str">
        <f t="shared" si="1"/>
        <v>XTCHNB7L</v>
      </c>
      <c r="D11" s="7" t="s">
        <v>29</v>
      </c>
      <c r="E11" s="21" t="s">
        <v>177</v>
      </c>
      <c r="F11" s="24" t="s">
        <v>178</v>
      </c>
      <c r="H11" s="18" t="s">
        <v>141</v>
      </c>
    </row>
    <row r="12" spans="1:8" x14ac:dyDescent="0.25">
      <c r="A12" s="9" t="s">
        <v>109</v>
      </c>
      <c r="B12" s="10" t="str">
        <f t="shared" si="0"/>
        <v>NB8L</v>
      </c>
      <c r="C12" s="15" t="str">
        <f t="shared" si="1"/>
        <v>XTCHNB8L</v>
      </c>
      <c r="D12" s="7" t="s">
        <v>92</v>
      </c>
      <c r="E12" s="21" t="s">
        <v>180</v>
      </c>
      <c r="F12" s="24" t="s">
        <v>181</v>
      </c>
      <c r="H12" s="18" t="s">
        <v>141</v>
      </c>
    </row>
    <row r="13" spans="1:8" x14ac:dyDescent="0.25">
      <c r="A13" s="9" t="s">
        <v>110</v>
      </c>
      <c r="B13" s="10" t="str">
        <f t="shared" si="0"/>
        <v>NB9L</v>
      </c>
      <c r="C13" s="15" t="str">
        <f t="shared" si="1"/>
        <v>XTCHNB9L</v>
      </c>
      <c r="D13" s="7" t="s">
        <v>28</v>
      </c>
      <c r="E13" s="21" t="s">
        <v>182</v>
      </c>
      <c r="H13" s="18" t="s">
        <v>141</v>
      </c>
    </row>
    <row r="14" spans="1:8" x14ac:dyDescent="0.25">
      <c r="A14" s="9" t="s">
        <v>111</v>
      </c>
      <c r="B14" s="10" t="str">
        <f t="shared" si="0"/>
        <v>NP45</v>
      </c>
      <c r="C14" s="15" t="str">
        <f t="shared" si="1"/>
        <v>XTCHNP45</v>
      </c>
      <c r="D14" s="7" t="s">
        <v>25</v>
      </c>
      <c r="E14" s="21" t="s">
        <v>183</v>
      </c>
      <c r="H14" s="18" t="s">
        <v>141</v>
      </c>
    </row>
    <row r="15" spans="1:8" x14ac:dyDescent="0.25">
      <c r="A15" s="9" t="s">
        <v>112</v>
      </c>
      <c r="B15" s="10" t="str">
        <f t="shared" si="0"/>
        <v>NP48</v>
      </c>
      <c r="C15" s="15" t="str">
        <f t="shared" si="1"/>
        <v>XTCHNP48</v>
      </c>
      <c r="D15" s="7" t="s">
        <v>88</v>
      </c>
      <c r="E15" s="21" t="s">
        <v>184</v>
      </c>
      <c r="H15" s="18" t="s">
        <v>141</v>
      </c>
    </row>
    <row r="16" spans="1:8" x14ac:dyDescent="0.25">
      <c r="A16" s="9" t="s">
        <v>113</v>
      </c>
      <c r="B16" s="10" t="str">
        <f t="shared" si="0"/>
        <v>NP50</v>
      </c>
      <c r="C16" s="15" t="str">
        <f t="shared" si="1"/>
        <v>XTCHNP50</v>
      </c>
      <c r="D16" s="7" t="s">
        <v>24</v>
      </c>
      <c r="E16" s="21" t="s">
        <v>184</v>
      </c>
      <c r="H16" s="18" t="s">
        <v>141</v>
      </c>
    </row>
    <row r="17" spans="1:8" x14ac:dyDescent="0.25">
      <c r="A17" s="9" t="s">
        <v>114</v>
      </c>
      <c r="B17" s="10" t="str">
        <f t="shared" si="0"/>
        <v>NP85</v>
      </c>
      <c r="C17" s="15" t="str">
        <f t="shared" si="1"/>
        <v>XTCHNP85</v>
      </c>
      <c r="D17" s="7" t="s">
        <v>23</v>
      </c>
      <c r="E17" s="21" t="s">
        <v>185</v>
      </c>
      <c r="H17" s="18" t="s">
        <v>141</v>
      </c>
    </row>
    <row r="18" spans="1:8" x14ac:dyDescent="0.25">
      <c r="A18" s="9" t="s">
        <v>115</v>
      </c>
      <c r="B18" s="10" t="str">
        <f t="shared" si="0"/>
        <v>NP95</v>
      </c>
      <c r="C18" s="15" t="str">
        <f t="shared" si="1"/>
        <v>XTCHNP95</v>
      </c>
      <c r="D18" s="7" t="s">
        <v>22</v>
      </c>
      <c r="E18" s="21" t="s">
        <v>186</v>
      </c>
      <c r="F18" s="24" t="s">
        <v>187</v>
      </c>
      <c r="H18" s="18" t="s">
        <v>141</v>
      </c>
    </row>
    <row r="19" spans="1:8" x14ac:dyDescent="0.25">
      <c r="A19" s="9" t="s">
        <v>116</v>
      </c>
      <c r="B19" s="10" t="str">
        <f t="shared" si="0"/>
        <v>NPBG1</v>
      </c>
      <c r="C19" s="15" t="str">
        <f t="shared" si="1"/>
        <v>XTCHNPBG1</v>
      </c>
      <c r="D19" s="7" t="s">
        <v>2</v>
      </c>
      <c r="E19" s="21" t="s">
        <v>188</v>
      </c>
      <c r="F19" s="24" t="s">
        <v>189</v>
      </c>
      <c r="H19" s="18" t="s">
        <v>141</v>
      </c>
    </row>
    <row r="20" spans="1:8" x14ac:dyDescent="0.25">
      <c r="A20" s="9" t="s">
        <v>117</v>
      </c>
      <c r="B20" s="10" t="str">
        <f t="shared" si="0"/>
        <v>NPBN1</v>
      </c>
      <c r="C20" s="15" t="str">
        <f t="shared" si="1"/>
        <v>XTCHNPBN1</v>
      </c>
      <c r="D20" s="7" t="s">
        <v>20</v>
      </c>
      <c r="E20" s="21" t="s">
        <v>190</v>
      </c>
      <c r="F20" s="24" t="s">
        <v>191</v>
      </c>
      <c r="H20" s="18" t="s">
        <v>141</v>
      </c>
    </row>
    <row r="21" spans="1:8" x14ac:dyDescent="0.25">
      <c r="A21" s="9" t="s">
        <v>118</v>
      </c>
      <c r="B21" s="10" t="str">
        <f t="shared" si="0"/>
        <v>NPBX1</v>
      </c>
      <c r="C21" s="15" t="str">
        <f t="shared" si="1"/>
        <v>XTCHNPBX1</v>
      </c>
      <c r="D21" s="7" t="s">
        <v>19</v>
      </c>
      <c r="E21" s="21" t="s">
        <v>192</v>
      </c>
      <c r="F21" s="24" t="s">
        <v>193</v>
      </c>
      <c r="H21" s="18" t="s">
        <v>141</v>
      </c>
    </row>
    <row r="22" spans="1:8" x14ac:dyDescent="0.25">
      <c r="A22" s="9" t="s">
        <v>119</v>
      </c>
      <c r="B22" s="10" t="str">
        <f t="shared" si="0"/>
        <v>NPF975</v>
      </c>
      <c r="C22" s="15" t="str">
        <f t="shared" si="1"/>
        <v>XTCHNPF975</v>
      </c>
      <c r="D22" s="7" t="s">
        <v>0</v>
      </c>
      <c r="E22" s="21" t="s">
        <v>194</v>
      </c>
      <c r="H22" s="18" t="s">
        <v>141</v>
      </c>
    </row>
    <row r="23" spans="1:8" x14ac:dyDescent="0.25">
      <c r="A23" s="9" t="s">
        <v>120</v>
      </c>
      <c r="B23" s="10" t="str">
        <f t="shared" si="0"/>
        <v>NPFH50</v>
      </c>
      <c r="C23" s="15" t="str">
        <f t="shared" si="1"/>
        <v>XTCHNPFH50</v>
      </c>
      <c r="D23" s="7" t="s">
        <v>21</v>
      </c>
      <c r="E23" s="21" t="s">
        <v>194</v>
      </c>
      <c r="F23" s="24" t="s">
        <v>195</v>
      </c>
      <c r="H23" s="18" t="s">
        <v>141</v>
      </c>
    </row>
    <row r="24" spans="1:8" x14ac:dyDescent="0.25">
      <c r="A24" s="9" t="s">
        <v>121</v>
      </c>
      <c r="B24" s="10" t="str">
        <f t="shared" si="0"/>
        <v>NPFM500H</v>
      </c>
      <c r="C24" s="15" t="str">
        <f t="shared" si="1"/>
        <v>XTCHNPFM500H</v>
      </c>
      <c r="D24" s="7" t="s">
        <v>1</v>
      </c>
      <c r="E24" s="21" t="s">
        <v>196</v>
      </c>
      <c r="F24" s="24" t="s">
        <v>197</v>
      </c>
      <c r="H24" s="18" t="s">
        <v>141</v>
      </c>
    </row>
    <row r="25" spans="1:8" x14ac:dyDescent="0.25">
      <c r="A25" s="9" t="s">
        <v>122</v>
      </c>
      <c r="B25" s="10" t="str">
        <f t="shared" si="0"/>
        <v>NPFV100</v>
      </c>
      <c r="C25" s="15" t="str">
        <f t="shared" si="1"/>
        <v>XTCHNPFV100</v>
      </c>
      <c r="D25" s="7" t="s">
        <v>15</v>
      </c>
      <c r="E25" s="21" t="s">
        <v>198</v>
      </c>
      <c r="F25" s="24" t="s">
        <v>199</v>
      </c>
      <c r="H25" s="18" t="s">
        <v>141</v>
      </c>
    </row>
    <row r="26" spans="1:8" x14ac:dyDescent="0.25">
      <c r="A26" s="9" t="s">
        <v>123</v>
      </c>
      <c r="B26" s="10" t="str">
        <f t="shared" si="0"/>
        <v>NPFV50</v>
      </c>
      <c r="C26" s="15" t="str">
        <f t="shared" si="1"/>
        <v>XTCHNPFV50</v>
      </c>
      <c r="D26" s="7" t="s">
        <v>3</v>
      </c>
      <c r="E26" s="21" t="s">
        <v>200</v>
      </c>
      <c r="F26" s="24" t="s">
        <v>201</v>
      </c>
      <c r="H26" s="18" t="s">
        <v>141</v>
      </c>
    </row>
    <row r="27" spans="1:8" x14ac:dyDescent="0.25">
      <c r="A27" s="9" t="s">
        <v>124</v>
      </c>
      <c r="B27" s="10" t="str">
        <f t="shared" si="0"/>
        <v>NPFV70</v>
      </c>
      <c r="C27" s="15" t="str">
        <f t="shared" si="1"/>
        <v>XTCHNPFV70</v>
      </c>
      <c r="D27" s="7" t="s">
        <v>17</v>
      </c>
      <c r="E27" s="21" t="s">
        <v>198</v>
      </c>
      <c r="F27" s="24" t="s">
        <v>202</v>
      </c>
      <c r="H27" s="18" t="s">
        <v>141</v>
      </c>
    </row>
    <row r="28" spans="1:8" x14ac:dyDescent="0.25">
      <c r="A28" s="9" t="s">
        <v>125</v>
      </c>
      <c r="B28" s="10" t="str">
        <f t="shared" si="0"/>
        <v>NPFW50</v>
      </c>
      <c r="C28" s="15" t="str">
        <f t="shared" si="1"/>
        <v>XTCHNPFW50</v>
      </c>
      <c r="D28" s="7" t="s">
        <v>16</v>
      </c>
      <c r="E28" s="21" t="s">
        <v>203</v>
      </c>
      <c r="H28" s="18" t="s">
        <v>141</v>
      </c>
    </row>
    <row r="29" spans="1:8" x14ac:dyDescent="0.25">
      <c r="A29" s="9" t="s">
        <v>126</v>
      </c>
      <c r="B29" s="10" t="str">
        <f t="shared" si="0"/>
        <v>NPW126</v>
      </c>
      <c r="C29" s="15" t="str">
        <f t="shared" si="1"/>
        <v>XTCHNPW126</v>
      </c>
      <c r="D29" s="7" t="s">
        <v>14</v>
      </c>
      <c r="E29" s="21" t="s">
        <v>204</v>
      </c>
      <c r="F29" s="24" t="s">
        <v>205</v>
      </c>
      <c r="H29" s="18" t="s">
        <v>141</v>
      </c>
    </row>
    <row r="30" spans="1:8" x14ac:dyDescent="0.25">
      <c r="A30" s="9" t="s">
        <v>127</v>
      </c>
      <c r="B30" s="10" t="str">
        <f t="shared" si="0"/>
        <v>SLB10A</v>
      </c>
      <c r="C30" s="15" t="str">
        <f t="shared" si="1"/>
        <v>XTCHSLB10A</v>
      </c>
      <c r="D30" s="7" t="s">
        <v>33</v>
      </c>
      <c r="E30" s="21" t="s">
        <v>206</v>
      </c>
      <c r="F30" s="24" t="s">
        <v>207</v>
      </c>
      <c r="H30" s="18" t="s">
        <v>141</v>
      </c>
    </row>
    <row r="31" spans="1:8" x14ac:dyDescent="0.25">
      <c r="A31" s="9" t="s">
        <v>128</v>
      </c>
      <c r="B31" s="10" t="str">
        <f t="shared" si="0"/>
        <v>VBG260</v>
      </c>
      <c r="C31" s="15" t="str">
        <f t="shared" si="1"/>
        <v>XTCHVBG260</v>
      </c>
      <c r="D31" s="7" t="s">
        <v>13</v>
      </c>
      <c r="E31" s="21" t="s">
        <v>208</v>
      </c>
      <c r="F31" s="24" t="s">
        <v>209</v>
      </c>
      <c r="H31" s="18" t="s">
        <v>141</v>
      </c>
    </row>
    <row r="32" spans="1:8" x14ac:dyDescent="0.25">
      <c r="A32" s="9" t="s">
        <v>129</v>
      </c>
      <c r="B32" s="10" t="str">
        <f t="shared" si="0"/>
        <v>VBG6</v>
      </c>
      <c r="C32" s="15" t="str">
        <f t="shared" si="1"/>
        <v>XTCHVBG6</v>
      </c>
      <c r="D32" s="7" t="s">
        <v>12</v>
      </c>
      <c r="E32" s="21" t="s">
        <v>210</v>
      </c>
      <c r="F32" s="24" t="s">
        <v>211</v>
      </c>
      <c r="H32" s="18" t="s">
        <v>141</v>
      </c>
    </row>
    <row r="33" spans="1:8" x14ac:dyDescent="0.25">
      <c r="A33" s="9" t="s">
        <v>130</v>
      </c>
      <c r="B33" s="10" t="str">
        <f t="shared" si="0"/>
        <v>VBK180</v>
      </c>
      <c r="C33" s="15" t="str">
        <f t="shared" si="1"/>
        <v>XTCHVBK180</v>
      </c>
      <c r="D33" s="7" t="s">
        <v>10</v>
      </c>
      <c r="E33" s="21" t="s">
        <v>212</v>
      </c>
      <c r="F33" s="24" t="s">
        <v>213</v>
      </c>
      <c r="H33" s="18" t="s">
        <v>141</v>
      </c>
    </row>
    <row r="34" spans="1:8" x14ac:dyDescent="0.25">
      <c r="A34" s="9" t="s">
        <v>131</v>
      </c>
      <c r="B34" s="10" t="str">
        <f t="shared" si="0"/>
        <v>VBK360</v>
      </c>
      <c r="C34" s="15" t="str">
        <f t="shared" si="1"/>
        <v>XTCHVBK360</v>
      </c>
      <c r="D34" s="7" t="s">
        <v>11</v>
      </c>
      <c r="E34" s="21" t="s">
        <v>212</v>
      </c>
      <c r="F34" s="24" t="s">
        <v>213</v>
      </c>
      <c r="H34" s="18" t="s">
        <v>141</v>
      </c>
    </row>
    <row r="35" spans="1:8" x14ac:dyDescent="0.25">
      <c r="A35" s="9" t="s">
        <v>132</v>
      </c>
      <c r="B35" s="10" t="str">
        <f t="shared" si="0"/>
        <v>VBN130</v>
      </c>
      <c r="C35" s="15" t="str">
        <f t="shared" si="1"/>
        <v>XTCHVBN130</v>
      </c>
      <c r="D35" s="7" t="s">
        <v>9</v>
      </c>
      <c r="E35" s="21" t="s">
        <v>214</v>
      </c>
      <c r="F35" s="24" t="s">
        <v>215</v>
      </c>
      <c r="H35" s="18" t="s">
        <v>141</v>
      </c>
    </row>
    <row r="36" spans="1:8" x14ac:dyDescent="0.25">
      <c r="A36" s="9" t="s">
        <v>133</v>
      </c>
      <c r="B36" s="10" t="str">
        <f t="shared" si="0"/>
        <v>VBN260</v>
      </c>
      <c r="C36" s="15" t="str">
        <f t="shared" si="1"/>
        <v>XTCHVBN260</v>
      </c>
      <c r="D36" s="7" t="s">
        <v>8</v>
      </c>
      <c r="E36" s="21" t="s">
        <v>214</v>
      </c>
      <c r="F36" s="24" t="s">
        <v>216</v>
      </c>
      <c r="H36" s="18" t="s">
        <v>141</v>
      </c>
    </row>
    <row r="37" spans="1:8" x14ac:dyDescent="0.25">
      <c r="A37" s="9" t="s">
        <v>134</v>
      </c>
      <c r="B37" s="10" t="str">
        <f t="shared" si="0"/>
        <v>VF815</v>
      </c>
      <c r="C37" s="15" t="str">
        <f t="shared" si="1"/>
        <v>XTCHVF815</v>
      </c>
      <c r="D37" s="7" t="s">
        <v>7</v>
      </c>
      <c r="E37" s="21" t="s">
        <v>217</v>
      </c>
      <c r="F37" s="24" t="s">
        <v>218</v>
      </c>
      <c r="H37" s="18" t="s">
        <v>141</v>
      </c>
    </row>
    <row r="38" spans="1:8" x14ac:dyDescent="0.25">
      <c r="A38" s="9" t="s">
        <v>135</v>
      </c>
      <c r="B38" s="10" t="str">
        <f t="shared" si="0"/>
        <v>VF823</v>
      </c>
      <c r="C38" s="15" t="str">
        <f t="shared" si="1"/>
        <v>XTCHVF823</v>
      </c>
      <c r="D38" s="7" t="s">
        <v>6</v>
      </c>
      <c r="E38" s="21" t="s">
        <v>219</v>
      </c>
      <c r="F38" s="24" t="s">
        <v>220</v>
      </c>
      <c r="H38" s="18" t="s">
        <v>141</v>
      </c>
    </row>
    <row r="39" spans="1:8" x14ac:dyDescent="0.25">
      <c r="A39" s="9" t="s">
        <v>136</v>
      </c>
      <c r="B39" s="10" t="str">
        <f t="shared" si="0"/>
        <v>VG121</v>
      </c>
      <c r="C39" s="15" t="str">
        <f t="shared" si="1"/>
        <v>XTCHVG121</v>
      </c>
      <c r="D39" s="7" t="s">
        <v>5</v>
      </c>
      <c r="E39" s="21" t="s">
        <v>221</v>
      </c>
      <c r="F39" s="24" t="s">
        <v>222</v>
      </c>
      <c r="H39" s="18" t="s">
        <v>141</v>
      </c>
    </row>
    <row r="40" spans="1:8" x14ac:dyDescent="0.25">
      <c r="A40" s="9" t="s">
        <v>137</v>
      </c>
      <c r="B40" s="10" t="str">
        <f t="shared" si="0"/>
        <v>VG138</v>
      </c>
      <c r="C40" s="15" t="str">
        <f t="shared" si="1"/>
        <v>XTCHVG138</v>
      </c>
      <c r="D40" s="7" t="s">
        <v>4</v>
      </c>
      <c r="E40" s="21" t="s">
        <v>223</v>
      </c>
      <c r="F40" s="24" t="s">
        <v>224</v>
      </c>
      <c r="H40" s="18" t="s">
        <v>141</v>
      </c>
    </row>
    <row r="41" spans="1:8" x14ac:dyDescent="0.25">
      <c r="A41" s="9" t="s">
        <v>99</v>
      </c>
      <c r="B41" s="10" t="str">
        <f t="shared" si="0"/>
        <v>BCF10</v>
      </c>
      <c r="C41" s="15" t="str">
        <f t="shared" si="1"/>
        <v>XTCHBCF10</v>
      </c>
      <c r="D41" s="7" t="s">
        <v>90</v>
      </c>
      <c r="E41" s="21" t="s">
        <v>225</v>
      </c>
      <c r="F41" s="24" t="s">
        <v>226</v>
      </c>
      <c r="H41" s="18" t="s">
        <v>141</v>
      </c>
    </row>
    <row r="42" spans="1:8" x14ac:dyDescent="0.25">
      <c r="A42" s="9" t="s">
        <v>100</v>
      </c>
      <c r="B42" s="10" t="str">
        <f t="shared" si="0"/>
        <v>BP1130</v>
      </c>
      <c r="C42" s="15" t="str">
        <f t="shared" si="1"/>
        <v>XTCHBP1130</v>
      </c>
      <c r="D42" s="7" t="s">
        <v>91</v>
      </c>
      <c r="E42" s="21" t="s">
        <v>227</v>
      </c>
      <c r="F42" s="24" t="s">
        <v>228</v>
      </c>
      <c r="H42" s="18" t="s">
        <v>141</v>
      </c>
    </row>
    <row r="43" spans="1:8" x14ac:dyDescent="0.25">
      <c r="A43" s="9" t="s">
        <v>101</v>
      </c>
      <c r="B43" s="10" t="str">
        <f t="shared" si="0"/>
        <v>ENEL23</v>
      </c>
      <c r="C43" s="15" t="str">
        <f t="shared" si="1"/>
        <v>XTCHENEL23</v>
      </c>
      <c r="D43" s="7" t="s">
        <v>89</v>
      </c>
      <c r="E43" s="21" t="s">
        <v>229</v>
      </c>
      <c r="F43" s="24" t="s">
        <v>230</v>
      </c>
      <c r="H43" s="18" t="s">
        <v>141</v>
      </c>
    </row>
    <row r="44" spans="1:8" x14ac:dyDescent="0.25">
      <c r="A44" s="9" t="s">
        <v>102</v>
      </c>
      <c r="B44" s="10" t="str">
        <f t="shared" si="0"/>
        <v>NB10L</v>
      </c>
      <c r="C44" s="15" t="str">
        <f t="shared" si="1"/>
        <v>XTCHNB10L</v>
      </c>
      <c r="D44" s="7" t="s">
        <v>27</v>
      </c>
      <c r="E44" s="21" t="s">
        <v>231</v>
      </c>
      <c r="F44" s="24" t="s">
        <v>232</v>
      </c>
      <c r="H44" s="18" t="s">
        <v>141</v>
      </c>
    </row>
    <row r="45" spans="1:8" x14ac:dyDescent="0.25">
      <c r="A45" s="9" t="s">
        <v>103</v>
      </c>
      <c r="B45" s="10" t="str">
        <f t="shared" si="0"/>
        <v>NB11L</v>
      </c>
      <c r="C45" s="15" t="str">
        <f t="shared" si="1"/>
        <v>XTCHNB11L</v>
      </c>
      <c r="D45" s="7" t="s">
        <v>26</v>
      </c>
      <c r="E45" s="21" t="s">
        <v>234</v>
      </c>
      <c r="F45" s="24" t="s">
        <v>235</v>
      </c>
      <c r="H45" s="18" t="s">
        <v>141</v>
      </c>
    </row>
    <row r="46" spans="1:8" x14ac:dyDescent="0.25">
      <c r="A46" s="9" t="s">
        <v>104</v>
      </c>
      <c r="B46" s="10" t="str">
        <f t="shared" si="0"/>
        <v>NB2LH</v>
      </c>
      <c r="C46" s="15" t="str">
        <f t="shared" si="1"/>
        <v>XTCHNB2LH</v>
      </c>
      <c r="D46" s="7" t="s">
        <v>18</v>
      </c>
      <c r="E46" s="21" t="s">
        <v>236</v>
      </c>
      <c r="F46" s="24" t="s">
        <v>237</v>
      </c>
      <c r="H46" s="18" t="s">
        <v>141</v>
      </c>
    </row>
    <row r="47" spans="1:8" x14ac:dyDescent="0.25">
      <c r="A47" s="9" t="s">
        <v>105</v>
      </c>
      <c r="B47" s="10" t="str">
        <f t="shared" si="0"/>
        <v>NB4L</v>
      </c>
      <c r="C47" s="15" t="str">
        <f t="shared" si="1"/>
        <v>XTCHNB4L</v>
      </c>
      <c r="D47" s="7" t="s">
        <v>32</v>
      </c>
      <c r="E47" s="21" t="s">
        <v>171</v>
      </c>
      <c r="F47" s="24" t="s">
        <v>238</v>
      </c>
      <c r="H47" s="18" t="s">
        <v>141</v>
      </c>
    </row>
    <row r="48" spans="1:8" x14ac:dyDescent="0.25">
      <c r="A48" s="9" t="s">
        <v>106</v>
      </c>
      <c r="B48" s="10" t="str">
        <f t="shared" si="0"/>
        <v>NB5L</v>
      </c>
      <c r="C48" s="15" t="str">
        <f t="shared" si="1"/>
        <v>XTCHNB5L</v>
      </c>
      <c r="D48" s="7" t="s">
        <v>31</v>
      </c>
      <c r="E48" s="21" t="s">
        <v>239</v>
      </c>
      <c r="F48" s="24" t="s">
        <v>240</v>
      </c>
      <c r="H48" s="18" t="s">
        <v>141</v>
      </c>
    </row>
    <row r="49" spans="1:8" x14ac:dyDescent="0.25">
      <c r="A49" s="9" t="s">
        <v>107</v>
      </c>
      <c r="B49" s="10" t="str">
        <f t="shared" si="0"/>
        <v>NB6L</v>
      </c>
      <c r="C49" s="15" t="str">
        <f t="shared" si="1"/>
        <v>XTCHNB6L</v>
      </c>
      <c r="D49" s="7" t="s">
        <v>30</v>
      </c>
      <c r="E49" s="21" t="s">
        <v>241</v>
      </c>
      <c r="F49" s="24" t="s">
        <v>242</v>
      </c>
      <c r="H49" s="18" t="s">
        <v>141</v>
      </c>
    </row>
    <row r="50" spans="1:8" x14ac:dyDescent="0.25">
      <c r="A50" s="9" t="s">
        <v>108</v>
      </c>
      <c r="B50" s="10" t="str">
        <f t="shared" si="0"/>
        <v>NB7L</v>
      </c>
      <c r="C50" s="15" t="str">
        <f t="shared" si="1"/>
        <v>XTCHNB7L</v>
      </c>
      <c r="D50" s="7" t="s">
        <v>29</v>
      </c>
      <c r="E50" s="21" t="s">
        <v>243</v>
      </c>
      <c r="F50" s="24" t="s">
        <v>244</v>
      </c>
      <c r="H50" s="18" t="s">
        <v>141</v>
      </c>
    </row>
    <row r="51" spans="1:8" x14ac:dyDescent="0.25">
      <c r="A51" s="9" t="s">
        <v>109</v>
      </c>
      <c r="B51" s="10" t="str">
        <f t="shared" si="0"/>
        <v>NB8L</v>
      </c>
      <c r="C51" s="15" t="str">
        <f t="shared" si="1"/>
        <v>XTCHNB8L</v>
      </c>
      <c r="D51" s="7" t="s">
        <v>92</v>
      </c>
      <c r="E51" s="21" t="s">
        <v>245</v>
      </c>
      <c r="F51" s="24" t="s">
        <v>246</v>
      </c>
      <c r="H51" s="18" t="s">
        <v>141</v>
      </c>
    </row>
    <row r="52" spans="1:8" x14ac:dyDescent="0.25">
      <c r="A52" s="9" t="s">
        <v>110</v>
      </c>
      <c r="B52" s="10" t="str">
        <f t="shared" si="0"/>
        <v>NB9L</v>
      </c>
      <c r="C52" s="15" t="str">
        <f t="shared" si="1"/>
        <v>XTCHNB9L</v>
      </c>
      <c r="D52" s="7" t="s">
        <v>28</v>
      </c>
      <c r="E52" s="21" t="s">
        <v>247</v>
      </c>
      <c r="F52" s="24" t="s">
        <v>248</v>
      </c>
      <c r="H52" s="18" t="s">
        <v>141</v>
      </c>
    </row>
    <row r="53" spans="1:8" x14ac:dyDescent="0.25">
      <c r="A53" s="9" t="s">
        <v>111</v>
      </c>
      <c r="B53" s="10" t="str">
        <f t="shared" si="0"/>
        <v>NP45</v>
      </c>
      <c r="C53" s="15" t="str">
        <f t="shared" si="1"/>
        <v>XTCHNP45</v>
      </c>
      <c r="D53" s="7" t="s">
        <v>25</v>
      </c>
      <c r="E53" s="21" t="s">
        <v>249</v>
      </c>
      <c r="F53" s="24" t="s">
        <v>250</v>
      </c>
      <c r="H53" s="18" t="s">
        <v>141</v>
      </c>
    </row>
    <row r="54" spans="1:8" x14ac:dyDescent="0.25">
      <c r="A54" s="9" t="s">
        <v>112</v>
      </c>
      <c r="B54" s="10" t="str">
        <f t="shared" si="0"/>
        <v>NP48</v>
      </c>
      <c r="C54" s="15" t="str">
        <f t="shared" si="1"/>
        <v>XTCHNP48</v>
      </c>
      <c r="D54" s="7" t="s">
        <v>88</v>
      </c>
      <c r="E54" s="21" t="s">
        <v>251</v>
      </c>
      <c r="F54" s="24" t="s">
        <v>252</v>
      </c>
      <c r="H54" s="18" t="s">
        <v>141</v>
      </c>
    </row>
    <row r="55" spans="1:8" x14ac:dyDescent="0.25">
      <c r="A55" s="9" t="s">
        <v>113</v>
      </c>
      <c r="B55" s="10" t="str">
        <f t="shared" si="0"/>
        <v>NP50</v>
      </c>
      <c r="C55" s="15" t="str">
        <f t="shared" si="1"/>
        <v>XTCHNP50</v>
      </c>
      <c r="D55" s="7" t="s">
        <v>24</v>
      </c>
      <c r="E55" s="21" t="s">
        <v>253</v>
      </c>
      <c r="F55" s="24" t="s">
        <v>254</v>
      </c>
      <c r="H55" s="18" t="s">
        <v>141</v>
      </c>
    </row>
    <row r="56" spans="1:8" x14ac:dyDescent="0.25">
      <c r="A56" s="9" t="s">
        <v>114</v>
      </c>
      <c r="B56" s="10" t="str">
        <f t="shared" si="0"/>
        <v>NP85</v>
      </c>
      <c r="C56" s="15" t="str">
        <f t="shared" si="1"/>
        <v>XTCHNP85</v>
      </c>
      <c r="D56" s="7" t="s">
        <v>23</v>
      </c>
      <c r="E56" s="21" t="s">
        <v>256</v>
      </c>
      <c r="F56" s="24" t="s">
        <v>255</v>
      </c>
      <c r="H56" s="18" t="s">
        <v>141</v>
      </c>
    </row>
    <row r="57" spans="1:8" x14ac:dyDescent="0.25">
      <c r="A57" s="9" t="s">
        <v>115</v>
      </c>
      <c r="B57" s="10" t="str">
        <f t="shared" si="0"/>
        <v>NP95</v>
      </c>
      <c r="C57" s="15" t="str">
        <f t="shared" si="1"/>
        <v>XTCHNP95</v>
      </c>
      <c r="D57" s="7" t="s">
        <v>22</v>
      </c>
      <c r="E57" s="21" t="s">
        <v>257</v>
      </c>
      <c r="F57" s="24" t="s">
        <v>187</v>
      </c>
      <c r="H57" s="18" t="s">
        <v>141</v>
      </c>
    </row>
    <row r="58" spans="1:8" x14ac:dyDescent="0.25">
      <c r="A58" s="9" t="s">
        <v>116</v>
      </c>
      <c r="B58" s="10" t="str">
        <f t="shared" si="0"/>
        <v>NPBG1</v>
      </c>
      <c r="C58" s="15" t="str">
        <f t="shared" si="1"/>
        <v>XTCHNPBG1</v>
      </c>
      <c r="D58" s="7" t="s">
        <v>2</v>
      </c>
      <c r="E58" s="21" t="s">
        <v>188</v>
      </c>
      <c r="F58" s="24" t="s">
        <v>189</v>
      </c>
      <c r="H58" s="18" t="s">
        <v>141</v>
      </c>
    </row>
    <row r="59" spans="1:8" x14ac:dyDescent="0.25">
      <c r="A59" s="9" t="s">
        <v>117</v>
      </c>
      <c r="B59" s="10" t="str">
        <f t="shared" si="0"/>
        <v>NPBN1</v>
      </c>
      <c r="C59" s="15" t="str">
        <f t="shared" si="1"/>
        <v>XTCHNPBN1</v>
      </c>
      <c r="D59" s="7" t="s">
        <v>20</v>
      </c>
      <c r="E59" s="21" t="s">
        <v>190</v>
      </c>
      <c r="F59" s="24" t="s">
        <v>191</v>
      </c>
      <c r="H59" s="18" t="s">
        <v>141</v>
      </c>
    </row>
    <row r="60" spans="1:8" x14ac:dyDescent="0.25">
      <c r="A60" s="9" t="s">
        <v>118</v>
      </c>
      <c r="B60" s="10" t="str">
        <f t="shared" si="0"/>
        <v>NPBX1</v>
      </c>
      <c r="C60" s="15" t="str">
        <f t="shared" si="1"/>
        <v>XTCHNPBX1</v>
      </c>
      <c r="D60" s="7" t="s">
        <v>19</v>
      </c>
      <c r="E60" s="21" t="s">
        <v>192</v>
      </c>
      <c r="F60" s="24" t="s">
        <v>258</v>
      </c>
      <c r="H60" s="18" t="s">
        <v>141</v>
      </c>
    </row>
    <row r="61" spans="1:8" x14ac:dyDescent="0.25">
      <c r="A61" s="9" t="s">
        <v>119</v>
      </c>
      <c r="B61" s="10" t="str">
        <f t="shared" si="0"/>
        <v>NPF975</v>
      </c>
      <c r="C61" s="15" t="str">
        <f t="shared" si="1"/>
        <v>XTCHNPF975</v>
      </c>
      <c r="D61" s="7" t="s">
        <v>0</v>
      </c>
      <c r="E61" s="21" t="s">
        <v>194</v>
      </c>
      <c r="H61" s="18" t="s">
        <v>141</v>
      </c>
    </row>
    <row r="62" spans="1:8" x14ac:dyDescent="0.25">
      <c r="A62" s="9" t="s">
        <v>120</v>
      </c>
      <c r="B62" s="10" t="str">
        <f t="shared" si="0"/>
        <v>NPFH50</v>
      </c>
      <c r="C62" s="15" t="str">
        <f t="shared" si="1"/>
        <v>XTCHNPFH50</v>
      </c>
      <c r="D62" s="7" t="s">
        <v>21</v>
      </c>
      <c r="E62" s="21" t="s">
        <v>259</v>
      </c>
      <c r="F62" s="24" t="s">
        <v>260</v>
      </c>
      <c r="H62" s="18" t="s">
        <v>141</v>
      </c>
    </row>
    <row r="63" spans="1:8" x14ac:dyDescent="0.25">
      <c r="A63" s="9" t="s">
        <v>121</v>
      </c>
      <c r="B63" s="10" t="str">
        <f t="shared" si="0"/>
        <v>NPFM500H</v>
      </c>
      <c r="C63" s="15" t="str">
        <f t="shared" si="1"/>
        <v>XTCHNPFM500H</v>
      </c>
      <c r="D63" s="7" t="s">
        <v>1</v>
      </c>
      <c r="E63" s="21" t="s">
        <v>196</v>
      </c>
      <c r="F63" s="24" t="s">
        <v>197</v>
      </c>
      <c r="H63" s="18" t="s">
        <v>141</v>
      </c>
    </row>
    <row r="64" spans="1:8" x14ac:dyDescent="0.25">
      <c r="A64" s="9" t="s">
        <v>122</v>
      </c>
      <c r="B64" s="10" t="str">
        <f t="shared" si="0"/>
        <v>NPFV100</v>
      </c>
      <c r="C64" s="15" t="str">
        <f t="shared" si="1"/>
        <v>XTCHNPFV100</v>
      </c>
      <c r="D64" s="7" t="s">
        <v>15</v>
      </c>
      <c r="E64" s="21" t="s">
        <v>198</v>
      </c>
      <c r="F64" s="24" t="s">
        <v>199</v>
      </c>
      <c r="H64" s="18" t="s">
        <v>141</v>
      </c>
    </row>
    <row r="65" spans="1:8" x14ac:dyDescent="0.25">
      <c r="A65" s="9" t="s">
        <v>123</v>
      </c>
      <c r="B65" s="10" t="str">
        <f t="shared" si="0"/>
        <v>NPFV50</v>
      </c>
      <c r="C65" s="15" t="str">
        <f t="shared" si="1"/>
        <v>XTCHNPFV50</v>
      </c>
      <c r="D65" s="7" t="s">
        <v>3</v>
      </c>
      <c r="E65" s="21" t="s">
        <v>200</v>
      </c>
      <c r="F65" s="24" t="s">
        <v>261</v>
      </c>
      <c r="H65" s="18" t="s">
        <v>141</v>
      </c>
    </row>
    <row r="66" spans="1:8" x14ac:dyDescent="0.25">
      <c r="A66" s="9" t="s">
        <v>124</v>
      </c>
      <c r="B66" s="10" t="str">
        <f t="shared" si="0"/>
        <v>NPFV70</v>
      </c>
      <c r="C66" s="15" t="str">
        <f t="shared" si="1"/>
        <v>XTCHNPFV70</v>
      </c>
      <c r="D66" s="7" t="s">
        <v>17</v>
      </c>
      <c r="E66" s="21" t="s">
        <v>198</v>
      </c>
      <c r="F66" s="24" t="s">
        <v>202</v>
      </c>
      <c r="H66" s="18" t="s">
        <v>141</v>
      </c>
    </row>
    <row r="67" spans="1:8" x14ac:dyDescent="0.25">
      <c r="A67" s="9" t="s">
        <v>125</v>
      </c>
      <c r="B67" s="10" t="str">
        <f t="shared" ref="B67:B93" si="2">RIGHT(A67, LEN(A67)-2)</f>
        <v>NPFW50</v>
      </c>
      <c r="C67" s="15" t="str">
        <f t="shared" ref="C67:C93" si="3">"XTCH"&amp;B67</f>
        <v>XTCHNPFW50</v>
      </c>
      <c r="D67" s="7" t="s">
        <v>16</v>
      </c>
      <c r="E67" s="21" t="s">
        <v>203</v>
      </c>
      <c r="H67" s="18" t="s">
        <v>141</v>
      </c>
    </row>
    <row r="68" spans="1:8" x14ac:dyDescent="0.25">
      <c r="A68" s="9" t="s">
        <v>126</v>
      </c>
      <c r="B68" s="10" t="str">
        <f t="shared" si="2"/>
        <v>NPW126</v>
      </c>
      <c r="C68" s="15" t="str">
        <f t="shared" si="3"/>
        <v>XTCHNPW126</v>
      </c>
      <c r="D68" s="7" t="s">
        <v>14</v>
      </c>
      <c r="E68" s="21" t="s">
        <v>204</v>
      </c>
      <c r="F68" s="24" t="s">
        <v>262</v>
      </c>
      <c r="H68" s="18" t="s">
        <v>141</v>
      </c>
    </row>
    <row r="69" spans="1:8" x14ac:dyDescent="0.25">
      <c r="A69" s="9" t="s">
        <v>127</v>
      </c>
      <c r="B69" s="10" t="str">
        <f t="shared" si="2"/>
        <v>SLB10A</v>
      </c>
      <c r="C69" s="15" t="str">
        <f t="shared" si="3"/>
        <v>XTCHSLB10A</v>
      </c>
      <c r="D69" s="7" t="s">
        <v>33</v>
      </c>
      <c r="E69" s="21" t="s">
        <v>206</v>
      </c>
      <c r="F69" s="24" t="s">
        <v>207</v>
      </c>
      <c r="H69" s="18" t="s">
        <v>141</v>
      </c>
    </row>
    <row r="70" spans="1:8" x14ac:dyDescent="0.25">
      <c r="A70" s="9" t="s">
        <v>128</v>
      </c>
      <c r="B70" s="10" t="str">
        <f t="shared" si="2"/>
        <v>VBG260</v>
      </c>
      <c r="C70" s="15" t="str">
        <f t="shared" si="3"/>
        <v>XTCHVBG260</v>
      </c>
      <c r="D70" s="7" t="s">
        <v>13</v>
      </c>
      <c r="E70" s="21" t="s">
        <v>206</v>
      </c>
      <c r="F70" s="24" t="s">
        <v>207</v>
      </c>
      <c r="H70" s="18" t="s">
        <v>141</v>
      </c>
    </row>
    <row r="71" spans="1:8" x14ac:dyDescent="0.25">
      <c r="A71" s="9" t="s">
        <v>129</v>
      </c>
      <c r="B71" s="10" t="str">
        <f t="shared" si="2"/>
        <v>VBG6</v>
      </c>
      <c r="C71" s="15" t="str">
        <f t="shared" si="3"/>
        <v>XTCHVBG6</v>
      </c>
      <c r="D71" s="7" t="s">
        <v>12</v>
      </c>
      <c r="E71" s="21" t="s">
        <v>210</v>
      </c>
      <c r="F71" s="24" t="s">
        <v>263</v>
      </c>
      <c r="H71" s="18" t="s">
        <v>141</v>
      </c>
    </row>
    <row r="72" spans="1:8" x14ac:dyDescent="0.25">
      <c r="A72" s="9" t="s">
        <v>130</v>
      </c>
      <c r="B72" s="10" t="str">
        <f t="shared" si="2"/>
        <v>VBK180</v>
      </c>
      <c r="C72" s="15" t="str">
        <f t="shared" si="3"/>
        <v>XTCHVBK180</v>
      </c>
      <c r="D72" s="7" t="s">
        <v>10</v>
      </c>
      <c r="E72" s="21" t="s">
        <v>212</v>
      </c>
      <c r="F72" s="24" t="s">
        <v>213</v>
      </c>
      <c r="H72" s="18" t="s">
        <v>141</v>
      </c>
    </row>
    <row r="73" spans="1:8" x14ac:dyDescent="0.25">
      <c r="A73" s="9" t="s">
        <v>131</v>
      </c>
      <c r="B73" s="10" t="str">
        <f t="shared" si="2"/>
        <v>VBK360</v>
      </c>
      <c r="C73" s="15" t="str">
        <f t="shared" si="3"/>
        <v>XTCHVBK360</v>
      </c>
      <c r="D73" s="7" t="s">
        <v>11</v>
      </c>
      <c r="E73" s="21" t="s">
        <v>212</v>
      </c>
      <c r="F73" s="24" t="s">
        <v>213</v>
      </c>
      <c r="H73" s="18" t="s">
        <v>141</v>
      </c>
    </row>
    <row r="74" spans="1:8" x14ac:dyDescent="0.25">
      <c r="A74" s="9" t="s">
        <v>132</v>
      </c>
      <c r="B74" s="10" t="str">
        <f t="shared" si="2"/>
        <v>VBN130</v>
      </c>
      <c r="C74" s="15" t="str">
        <f t="shared" si="3"/>
        <v>XTCHVBN130</v>
      </c>
      <c r="D74" s="7" t="s">
        <v>9</v>
      </c>
      <c r="E74" s="21" t="s">
        <v>214</v>
      </c>
      <c r="F74" s="24" t="s">
        <v>215</v>
      </c>
      <c r="H74" s="18" t="s">
        <v>141</v>
      </c>
    </row>
    <row r="75" spans="1:8" x14ac:dyDescent="0.25">
      <c r="A75" s="9" t="s">
        <v>133</v>
      </c>
      <c r="B75" s="10" t="str">
        <f t="shared" si="2"/>
        <v>VBN260</v>
      </c>
      <c r="C75" s="15" t="str">
        <f t="shared" si="3"/>
        <v>XTCHVBN260</v>
      </c>
      <c r="D75" s="7" t="s">
        <v>8</v>
      </c>
      <c r="E75" s="21" t="s">
        <v>214</v>
      </c>
      <c r="H75" s="18" t="s">
        <v>141</v>
      </c>
    </row>
    <row r="76" spans="1:8" x14ac:dyDescent="0.25">
      <c r="A76" s="9" t="s">
        <v>134</v>
      </c>
      <c r="B76" s="10" t="str">
        <f t="shared" si="2"/>
        <v>VF815</v>
      </c>
      <c r="C76" s="15" t="str">
        <f t="shared" si="3"/>
        <v>XTCHVF815</v>
      </c>
      <c r="D76" s="7" t="s">
        <v>7</v>
      </c>
      <c r="E76" s="21" t="s">
        <v>264</v>
      </c>
      <c r="F76" s="24" t="s">
        <v>218</v>
      </c>
      <c r="H76" s="18" t="s">
        <v>141</v>
      </c>
    </row>
    <row r="77" spans="1:8" x14ac:dyDescent="0.25">
      <c r="A77" s="9" t="s">
        <v>135</v>
      </c>
      <c r="B77" s="10" t="str">
        <f t="shared" si="2"/>
        <v>VF823</v>
      </c>
      <c r="C77" s="15" t="str">
        <f t="shared" si="3"/>
        <v>XTCHVF823</v>
      </c>
      <c r="D77" s="7" t="s">
        <v>6</v>
      </c>
      <c r="E77" s="21" t="s">
        <v>219</v>
      </c>
      <c r="F77" s="24" t="s">
        <v>220</v>
      </c>
      <c r="H77" s="18" t="s">
        <v>141</v>
      </c>
    </row>
    <row r="78" spans="1:8" x14ac:dyDescent="0.25">
      <c r="A78" s="9" t="s">
        <v>136</v>
      </c>
      <c r="B78" s="10" t="str">
        <f t="shared" si="2"/>
        <v>VG121</v>
      </c>
      <c r="C78" s="15" t="str">
        <f t="shared" si="3"/>
        <v>XTCHVG121</v>
      </c>
      <c r="D78" s="7" t="s">
        <v>5</v>
      </c>
      <c r="E78" s="21" t="s">
        <v>221</v>
      </c>
      <c r="F78" s="24" t="s">
        <v>265</v>
      </c>
      <c r="H78" s="18" t="s">
        <v>141</v>
      </c>
    </row>
    <row r="79" spans="1:8" x14ac:dyDescent="0.25">
      <c r="A79" s="9" t="s">
        <v>137</v>
      </c>
      <c r="B79" s="10" t="str">
        <f t="shared" si="2"/>
        <v>VG138</v>
      </c>
      <c r="C79" s="15" t="str">
        <f t="shared" si="3"/>
        <v>XTCHVG138</v>
      </c>
      <c r="D79" s="7" t="s">
        <v>4</v>
      </c>
      <c r="E79" s="21" t="s">
        <v>223</v>
      </c>
      <c r="F79" s="24" t="s">
        <v>224</v>
      </c>
      <c r="H79" s="18" t="s">
        <v>141</v>
      </c>
    </row>
    <row r="80" spans="1:8" x14ac:dyDescent="0.25">
      <c r="A80" s="9" t="s">
        <v>66</v>
      </c>
      <c r="B80" s="10" t="str">
        <f t="shared" si="2"/>
        <v>ENEL8</v>
      </c>
      <c r="C80" s="15" t="str">
        <f t="shared" si="3"/>
        <v>XTCHENEL8</v>
      </c>
      <c r="D80" s="7" t="s">
        <v>143</v>
      </c>
      <c r="E80" s="21" t="s">
        <v>266</v>
      </c>
      <c r="F80" s="24" t="s">
        <v>267</v>
      </c>
      <c r="H80" s="18" t="s">
        <v>141</v>
      </c>
    </row>
    <row r="81" spans="1:8" x14ac:dyDescent="0.25">
      <c r="A81" s="9" t="s">
        <v>96</v>
      </c>
      <c r="B81" s="10" t="str">
        <f t="shared" si="2"/>
        <v>ENEL9</v>
      </c>
      <c r="C81" s="15" t="str">
        <f t="shared" si="3"/>
        <v>XTCHENEL9</v>
      </c>
      <c r="D81" s="7" t="s">
        <v>144</v>
      </c>
      <c r="E81" s="21" t="s">
        <v>268</v>
      </c>
      <c r="F81" s="24" t="s">
        <v>269</v>
      </c>
      <c r="H81" s="18" t="s">
        <v>141</v>
      </c>
    </row>
    <row r="82" spans="1:8" x14ac:dyDescent="0.25">
      <c r="A82" s="9" t="s">
        <v>73</v>
      </c>
      <c r="B82" s="10" t="str">
        <f t="shared" si="2"/>
        <v>GPH3</v>
      </c>
      <c r="C82" s="15" t="str">
        <f t="shared" si="3"/>
        <v>XTCHGPH3</v>
      </c>
      <c r="D82" s="7" t="s">
        <v>145</v>
      </c>
      <c r="E82" s="21" t="s">
        <v>270</v>
      </c>
      <c r="H82" s="18" t="s">
        <v>141</v>
      </c>
    </row>
    <row r="83" spans="1:8" x14ac:dyDescent="0.25">
      <c r="A83" s="9" t="s">
        <v>79</v>
      </c>
      <c r="B83" s="10" t="str">
        <f t="shared" si="2"/>
        <v>LI109</v>
      </c>
      <c r="C83" s="15" t="str">
        <f t="shared" si="3"/>
        <v>XTCHLI109</v>
      </c>
      <c r="D83" s="7" t="s">
        <v>146</v>
      </c>
      <c r="E83" s="21" t="s">
        <v>271</v>
      </c>
      <c r="F83" s="24" t="s">
        <v>272</v>
      </c>
      <c r="H83" s="18" t="s">
        <v>141</v>
      </c>
    </row>
    <row r="84" spans="1:8" x14ac:dyDescent="0.25">
      <c r="A84" s="9" t="s">
        <v>74</v>
      </c>
      <c r="B84" s="10" t="str">
        <f t="shared" si="2"/>
        <v>LI42B</v>
      </c>
      <c r="C84" s="15" t="str">
        <f t="shared" si="3"/>
        <v>XTCHLI42B</v>
      </c>
      <c r="D84" s="7" t="s">
        <v>147</v>
      </c>
      <c r="E84" s="21" t="s">
        <v>273</v>
      </c>
      <c r="F84" s="24" t="s">
        <v>274</v>
      </c>
      <c r="H84" s="18" t="s">
        <v>141</v>
      </c>
    </row>
    <row r="85" spans="1:8" x14ac:dyDescent="0.25">
      <c r="A85" s="9" t="s">
        <v>75</v>
      </c>
      <c r="B85" s="10" t="str">
        <f t="shared" si="2"/>
        <v>LI50B</v>
      </c>
      <c r="C85" s="15" t="str">
        <f t="shared" si="3"/>
        <v>XTCHLI50B</v>
      </c>
      <c r="D85" s="7" t="s">
        <v>148</v>
      </c>
      <c r="E85" s="21" t="s">
        <v>275</v>
      </c>
      <c r="F85" s="24" t="s">
        <v>276</v>
      </c>
      <c r="H85" s="18" t="s">
        <v>141</v>
      </c>
    </row>
    <row r="86" spans="1:8" x14ac:dyDescent="0.25">
      <c r="A86" s="9" t="s">
        <v>76</v>
      </c>
      <c r="B86" s="10" t="str">
        <f t="shared" si="2"/>
        <v>LI70B</v>
      </c>
      <c r="C86" s="15" t="str">
        <f t="shared" si="3"/>
        <v>XTCHLI70B</v>
      </c>
      <c r="D86" s="7" t="s">
        <v>149</v>
      </c>
      <c r="E86" s="21" t="s">
        <v>277</v>
      </c>
      <c r="F86" s="24" t="s">
        <v>278</v>
      </c>
      <c r="H86" s="18" t="s">
        <v>141</v>
      </c>
    </row>
    <row r="87" spans="1:8" x14ac:dyDescent="0.25">
      <c r="A87" s="9" t="s">
        <v>77</v>
      </c>
      <c r="B87" s="10" t="str">
        <f t="shared" si="2"/>
        <v>LI90</v>
      </c>
      <c r="C87" s="15" t="str">
        <f t="shared" si="3"/>
        <v>XTCHLI90</v>
      </c>
      <c r="D87" s="7" t="s">
        <v>150</v>
      </c>
      <c r="E87" s="21" t="s">
        <v>279</v>
      </c>
      <c r="F87" s="24" t="s">
        <v>280</v>
      </c>
      <c r="H87" s="18" t="s">
        <v>141</v>
      </c>
    </row>
    <row r="88" spans="1:8" x14ac:dyDescent="0.25">
      <c r="A88" s="9" t="s">
        <v>78</v>
      </c>
      <c r="B88" s="10" t="str">
        <f t="shared" si="2"/>
        <v>LI90B</v>
      </c>
      <c r="C88" s="15" t="str">
        <f t="shared" si="3"/>
        <v>XTCHLI90B</v>
      </c>
      <c r="D88" s="7" t="s">
        <v>151</v>
      </c>
      <c r="E88" s="21" t="s">
        <v>281</v>
      </c>
      <c r="F88" s="24" t="s">
        <v>282</v>
      </c>
      <c r="H88" s="18" t="s">
        <v>141</v>
      </c>
    </row>
    <row r="89" spans="1:8" x14ac:dyDescent="0.25">
      <c r="A89" s="9" t="s">
        <v>82</v>
      </c>
      <c r="B89" s="10" t="str">
        <f t="shared" si="2"/>
        <v>LPE10</v>
      </c>
      <c r="C89" s="15" t="str">
        <f t="shared" si="3"/>
        <v>XTCHLPE10</v>
      </c>
      <c r="D89" s="7" t="s">
        <v>152</v>
      </c>
      <c r="E89" s="21" t="s">
        <v>283</v>
      </c>
      <c r="F89" s="24" t="s">
        <v>284</v>
      </c>
      <c r="H89" s="18" t="s">
        <v>141</v>
      </c>
    </row>
    <row r="90" spans="1:8" x14ac:dyDescent="0.25">
      <c r="A90" s="9" t="s">
        <v>83</v>
      </c>
      <c r="B90" s="10" t="str">
        <f t="shared" si="2"/>
        <v>LPE12</v>
      </c>
      <c r="C90" s="15" t="str">
        <f t="shared" si="3"/>
        <v>XTCHLPE12</v>
      </c>
      <c r="D90" s="7" t="s">
        <v>153</v>
      </c>
      <c r="E90" s="21" t="s">
        <v>285</v>
      </c>
      <c r="F90" s="24" t="s">
        <v>286</v>
      </c>
      <c r="H90" s="18" t="s">
        <v>141</v>
      </c>
    </row>
    <row r="91" spans="1:8" x14ac:dyDescent="0.25">
      <c r="A91" s="9" t="s">
        <v>93</v>
      </c>
      <c r="B91" s="10" t="str">
        <f t="shared" si="2"/>
        <v>LPE5</v>
      </c>
      <c r="C91" s="15" t="str">
        <f t="shared" si="3"/>
        <v>XTCHLPE5</v>
      </c>
      <c r="D91" s="7" t="s">
        <v>154</v>
      </c>
      <c r="E91" s="21" t="s">
        <v>287</v>
      </c>
      <c r="F91" s="24" t="s">
        <v>288</v>
      </c>
      <c r="H91" s="18" t="s">
        <v>141</v>
      </c>
    </row>
    <row r="92" spans="1:8" x14ac:dyDescent="0.25">
      <c r="A92" s="9" t="s">
        <v>80</v>
      </c>
      <c r="B92" s="10" t="str">
        <f t="shared" si="2"/>
        <v>LPE6</v>
      </c>
      <c r="C92" s="15" t="str">
        <f t="shared" si="3"/>
        <v>XTCHLPE6</v>
      </c>
      <c r="D92" s="7" t="s">
        <v>155</v>
      </c>
      <c r="E92" s="21" t="s">
        <v>289</v>
      </c>
      <c r="F92" s="24" t="s">
        <v>290</v>
      </c>
      <c r="H92" s="18" t="s">
        <v>141</v>
      </c>
    </row>
    <row r="93" spans="1:8" x14ac:dyDescent="0.25">
      <c r="A93" s="9" t="s">
        <v>81</v>
      </c>
      <c r="B93" s="10" t="str">
        <f t="shared" si="2"/>
        <v>LPE8</v>
      </c>
      <c r="C93" s="15" t="str">
        <f t="shared" si="3"/>
        <v>XTCHLPE8</v>
      </c>
      <c r="D93" s="7" t="s">
        <v>156</v>
      </c>
      <c r="E93" s="21" t="s">
        <v>291</v>
      </c>
      <c r="F93" s="24" t="s">
        <v>292</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
  <sheetViews>
    <sheetView workbookViewId="0">
      <selection activeCell="E3" sqref="E3"/>
    </sheetView>
  </sheetViews>
  <sheetFormatPr defaultRowHeight="15" x14ac:dyDescent="0.25"/>
  <sheetData>
    <row r="1" spans="1:8" x14ac:dyDescent="0.25">
      <c r="A1" s="4"/>
      <c r="B1" s="4"/>
      <c r="C1" s="4"/>
      <c r="D1" s="4"/>
      <c r="E1" s="4"/>
      <c r="F1" s="4"/>
      <c r="G1" s="4"/>
      <c r="H1" s="4"/>
    </row>
    <row r="2" spans="1:8" x14ac:dyDescent="0.25">
      <c r="A2" s="4"/>
      <c r="B2" s="4"/>
      <c r="C2" s="4"/>
      <c r="D2" s="4"/>
      <c r="E2" s="4"/>
      <c r="F2" s="4"/>
      <c r="G2" s="4"/>
      <c r="H2" s="4"/>
    </row>
    <row r="3" spans="1:8" x14ac:dyDescent="0.25">
      <c r="A3" s="4"/>
      <c r="B3" s="4"/>
      <c r="C3" s="4"/>
      <c r="D3" s="4"/>
      <c r="E3" s="4"/>
      <c r="F3" s="4"/>
      <c r="G3" s="4"/>
      <c r="H3" s="4"/>
    </row>
    <row r="4" spans="1:8" x14ac:dyDescent="0.25">
      <c r="A4" s="4"/>
      <c r="B4" s="4"/>
      <c r="C4" s="4"/>
      <c r="D4" s="4"/>
      <c r="E4" s="4"/>
      <c r="F4" s="4"/>
      <c r="G4" s="4"/>
      <c r="H4" s="4"/>
    </row>
    <row r="5" spans="1:8" x14ac:dyDescent="0.25">
      <c r="A5" s="4"/>
      <c r="B5" s="4"/>
      <c r="C5" s="4"/>
      <c r="D5" s="4"/>
      <c r="E5" s="4"/>
      <c r="F5" s="4"/>
      <c r="G5" s="4"/>
      <c r="H5" s="4"/>
    </row>
    <row r="6" spans="1:8" x14ac:dyDescent="0.25">
      <c r="A6" s="4"/>
      <c r="B6" s="4"/>
      <c r="C6" s="4"/>
      <c r="D6" s="4"/>
      <c r="E6" s="4"/>
      <c r="F6" s="4"/>
      <c r="G6" s="4"/>
      <c r="H6" s="4"/>
    </row>
    <row r="7" spans="1:8" x14ac:dyDescent="0.25">
      <c r="A7" s="4"/>
      <c r="B7" s="4"/>
      <c r="C7" s="4"/>
      <c r="D7" s="4"/>
      <c r="E7" s="4"/>
      <c r="F7" s="4"/>
      <c r="G7" s="4"/>
      <c r="H7" s="4"/>
    </row>
    <row r="8" spans="1:8" x14ac:dyDescent="0.25">
      <c r="A8" s="4"/>
      <c r="B8" s="4"/>
      <c r="C8" s="4"/>
      <c r="D8" s="4"/>
      <c r="E8" s="4"/>
      <c r="F8" s="4"/>
      <c r="G8" s="4"/>
      <c r="H8" s="4"/>
    </row>
    <row r="9" spans="1:8" x14ac:dyDescent="0.25">
      <c r="A9" s="4"/>
      <c r="B9" s="4"/>
      <c r="C9" s="4"/>
      <c r="D9" s="4"/>
      <c r="E9" s="4"/>
      <c r="F9" s="4"/>
      <c r="G9" s="4"/>
      <c r="H9" s="4"/>
    </row>
    <row r="10" spans="1:8" x14ac:dyDescent="0.25">
      <c r="A10" s="4"/>
      <c r="B10" s="4"/>
      <c r="C10" s="4"/>
      <c r="D10" s="4"/>
      <c r="E10" s="4"/>
      <c r="F10" s="4"/>
      <c r="G10" s="4"/>
      <c r="H10" s="4"/>
    </row>
    <row r="11" spans="1:8" x14ac:dyDescent="0.25">
      <c r="A11" s="4"/>
      <c r="B11" s="4"/>
      <c r="C11" s="4"/>
      <c r="D11" s="4"/>
      <c r="E11" s="4"/>
      <c r="F11" s="4"/>
      <c r="G11" s="4"/>
      <c r="H11" s="4"/>
    </row>
    <row r="12" spans="1:8" x14ac:dyDescent="0.25">
      <c r="A12" s="4"/>
      <c r="B12" s="4"/>
      <c r="C12" s="4"/>
      <c r="D12" s="4"/>
      <c r="E12" s="4"/>
      <c r="F12" s="4"/>
      <c r="G12" s="4"/>
      <c r="H12" s="4"/>
    </row>
    <row r="13" spans="1:8" x14ac:dyDescent="0.25">
      <c r="A13" s="4"/>
      <c r="B13" s="4"/>
      <c r="C13" s="4"/>
      <c r="D13" s="4"/>
      <c r="E13" s="4"/>
      <c r="F13" s="4"/>
      <c r="G13" s="4"/>
      <c r="H13" s="4"/>
    </row>
    <row r="14" spans="1:8" x14ac:dyDescent="0.25">
      <c r="A14" s="4"/>
      <c r="B14" s="4"/>
      <c r="C14" s="4"/>
      <c r="D14" s="4"/>
      <c r="E14" s="4"/>
      <c r="F14" s="4"/>
      <c r="G14" s="4"/>
      <c r="H14" s="4"/>
    </row>
    <row r="15" spans="1:8" x14ac:dyDescent="0.25">
      <c r="A15" s="4"/>
      <c r="B15" s="4"/>
      <c r="C15" s="4"/>
      <c r="D15" s="4"/>
      <c r="E15" s="4"/>
      <c r="F15" s="4"/>
      <c r="G15" s="4"/>
      <c r="H15" s="4"/>
    </row>
    <row r="16" spans="1:8" x14ac:dyDescent="0.25">
      <c r="A16" s="4"/>
      <c r="B16" s="4"/>
      <c r="C16" s="4"/>
      <c r="D16" s="4"/>
      <c r="E16" s="4"/>
      <c r="F16" s="4"/>
      <c r="G16" s="4"/>
      <c r="H16"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2016-08-12T16:53:25Z</dcterms:modified>
</cp:coreProperties>
</file>