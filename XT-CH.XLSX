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360" yWindow="345" windowWidth="12195" windowHeight="9510" tabRatio="487" activeTab="1"/>
  </bookViews>
  <sheets>
    <sheet name="Original Sheet" sheetId="1" r:id="rId1"/>
    <sheet name="Good Looks" sheetId="2" r:id="rId2"/>
    <sheet name="Sheet3" sheetId="3" r:id="rId3"/>
  </sheets>
  <calcPr calcId="145621"/>
</workbook>
</file>

<file path=xl/calcChain.xml><?xml version="1.0" encoding="utf-8"?>
<calcChain xmlns="http://schemas.openxmlformats.org/spreadsheetml/2006/main">
  <c r="B2" i="2" l="1"/>
  <c r="C2" i="2" s="1"/>
  <c r="B3" i="2"/>
  <c r="C3" i="2" s="1"/>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s="1"/>
  <c r="B88" i="2"/>
  <c r="C88" i="2" s="1"/>
  <c r="B89" i="2"/>
  <c r="C89" i="2" s="1"/>
  <c r="B90" i="2"/>
  <c r="C90" i="2" s="1"/>
  <c r="B91" i="2"/>
  <c r="C91" i="2" s="1"/>
  <c r="B92" i="2"/>
  <c r="C92" i="2" s="1"/>
  <c r="B93" i="2"/>
  <c r="C93" i="2" s="1"/>
  <c r="D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<sst xmlns="http://schemas.openxmlformats.org/spreadsheetml/2006/main" count="658" uniqueCount="247">
  <si>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</si>
  <si>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</si>
  <si>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</si>
  <si>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</si>
  <si>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</si>
  <si>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</si>
  <si>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</si>
  <si>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</si>
  <si>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</si>
  <si>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</si>
  <si>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</si>
  <si>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</si>
  <si>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</si>
  <si>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</si>
  <si>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</si>
  <si>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</si>
  <si>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</si>
  <si>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</si>
  <si>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</si>
  <si>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</si>
  <si>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</si>
  <si>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</si>
  <si>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</si>
  <si>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</si>
  <si>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</si>
  <si>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</si>
  <si>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</si>
  <si>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</si>
  <si>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</si>
  <si>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</si>
  <si>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</si>
  <si>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</si>
  <si>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</si>
  <si>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</si>
  <si>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</si>
  <si>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</si>
  <si>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</si>
  <si>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</si>
  <si>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</si>
  <si>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</si>
  <si>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</si>
  <si>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</si>
  <si>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</si>
  <si>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</si>
  <si>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</si>
  <si>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</si>
  <si>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</si>
  <si>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</si>
  <si>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</si>
  <si>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</si>
  <si>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</si>
  <si>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</si>
  <si>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</si>
  <si>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</si>
  <si>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</si>
  <si>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</si>
  <si>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</si>
  <si>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</si>
  <si>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</si>
  <si>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</si>
  <si>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</si>
  <si>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</si>
  <si>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</si>
  <si>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</si>
  <si>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</si>
  <si>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</si>
  <si>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</si>
  <si>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</si>
  <si>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</si>
  <si>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</si>
  <si>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</si>
  <si>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</si>
  <si>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</si>
  <si>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</si>
  <si>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</si>
  <si>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</si>
  <si>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</si>
  <si>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</si>
  <si>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</si>
  <si>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</si>
  <si>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</si>
  <si>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</si>
  <si>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</si>
  <si>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</si>
  <si>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</si>
  <si>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</si>
  <si>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</si>
  <si>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</si>
  <si>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</si>
  <si>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</si>
  <si>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</si>
  <si>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</si>
  <si>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</si>
  <si>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</si>
  <si>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</si>
  <si>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</si>
  <si>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</si>
  <si>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</si>
  <si>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</si>
  <si>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</si>
  <si>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</si>
  <si>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</si>
  <si>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</si>
  <si>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</si>
  <si>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</si>
  <si>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</si>
  <si>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</si>
  <si>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</si>
  <si>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</si>
  <si>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</si>
  <si>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</si>
  <si>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</si>
  <si>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</si>
  <si>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</si>
  <si>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</si>
  <si>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</si>
  <si>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</si>
  <si>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</si>
  <si>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</si>
  <si>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</si>
  <si>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</si>
  <si>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</si>
  <si>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</si>
  <si>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</si>
  <si>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</si>
  <si>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</si>
  <si>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</si>
  <si>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</si>
  <si>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</si>
  <si>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</si>
  <si>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</si>
  <si>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</si>
  <si>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</si>
  <si>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</si>
  <si>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</si>
  <si>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</si>
  <si>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</si>
  <si>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</si>
  <si>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</si>
  <si>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</si>
  <si>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</si>
  <si>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</si>
  <si>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</si>
  <si>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</si>
  <si>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</si>
  <si>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</si>
  <si>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</si>
  <si>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</si>
  <si>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</si>
  <si>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</si>
  <si>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</si>
  <si>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</si>
  <si>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</si>
  <si>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</si>
  <si>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</si>
  <si>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</si>
  <si>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</si>
  <si>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</si>
  <si>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</si>
  <si>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</si>
  <si>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</si>
  <si>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</si>
  <si>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</si>
  <si>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XT+CH</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</si>
  <si>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</si>
  <si>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</si>
  <si>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</si>
  <si>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</si>
  <si>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</si>
  <si>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</si>
  <si>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</si>
  <si>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</si>
  <si>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</si>
  <si>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</si>
  <si>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</si>
  <si>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</si>
  <si>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</si>
  <si>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</si>
  <si>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</si>
  <si>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Paste</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</si>
  <si>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</si>
  <si>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</si>
  <si>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</si>
  <si>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</si>
  <si>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</si>
  <si>
    <t>Fujifilm NP-85, NP85 Fujifilm FinePix S1 Fujifilm FinePix SL1000 Fujifilm FinePix SL305 Fujifilm FinePix SL300 Fujifilm FinePix SL280 Fujifilm FinePix SL260 Fujifilm FinePix SL240</t>
  </si>
  <si>
    <t>Fujifilm X30 Fujifilm X100 Fujifilm X100S Fujifilm X100T Fujifilm X-S1 Fujifilm Fujifilm X30 Fujifilm X100 Fujifilm X100S Fujifilm X100T Fujifilm X-S1 Fujifilm FinePix F30 Fujifilm FinePix F31 fd, F31fd Fujifilm FinePix Real 3D W1FinePix F30 Fujifilm FinePix F31 fd, F31fd Fujifilm FinePix Real 3D W1</t>
  </si>
  <si>
    <t>Fuji NP-95, Fuji NP95</t>
  </si>
  <si>
    <t>DSC-H3, DSCH3, H3 DSC-H7, DSCH7, H7 DSC-H9, DSCH9, H9 DSC-H10, DSCH10, H10 DSC-H20, DSCH20, H20 DSC-H50, DSCH50, H50 DSC-H55, DSCH55, H55 DSC-H70, DSCH70, H70 DSC-H90, DSCH90, H90 DSC-HX5, DSCHX5, HX5 DSC-HX5V, DSCHX5V, HX5V DSC-HX7V, DSCHX7V, HX7V DSC-HX9V, DSCHX9V, HX9V DSC-HX10, DSCHX10, HX10 DSC-HX20, DSCHX20, HX20 DSC-HX30, DSCHX30, HX30 DSC-N1, DSCN1, N1 DSC-N2, DSCN2, N2 DSC-T100, DSCT100, T100 DSC-T20, DSCT20, T20 DSC-W100, DSCW100, W100 DSC-W120 DSCW120, W120 DSC-W130 DSCW130, W130 DSC-W150 DSCW150, W150 DSC-W170 DSCW170, W170 DSC-W200, DSCW200, W200 DSC-W210, DSCW210, W210 DSC-W215, DSCW215, W215 DSC-W220, DSCW220, W220 DSC-W230, DSCW230, W230 DSC-W270, DSCW270, W270 DSC-W290, DSCW290, W290 DSC-W300, DSCW300, W300 DSC-W30, DSCW30, W30 DSC-W35, DSCW35, W35 DSC-W50, DSCW50, W50 DSC-W55, DSCW55, W55 DSC-W70, DSCW70, W70 DSC-W80, DSCW80, W80 DSC-W90, DSCW90, W90 DSC-WX1, DSCWX1, WX1 DSC-WX10, DSCWX10, WX10 HDR-GW77, HDRGW77, GW77</t>
  </si>
  <si>
    <t>Sony NP-BG1, Sony NPBG1, Sony BG1, Sony NP-FG1, Sony NPFG1/M8, Sony FG1</t>
  </si>
  <si>
    <t>DSC-QX10, DSCQX10, QX10 DSC-QX30, DSCQX30, QX30 DSC-QX100, DSCQX100, QX100 DSC-TF1, DSCTF1, TF1 DSC-TX66, DSCTX66, TX66 DSC-TX200, DSCTX200, TX200 DSC-TX20, DSCTX20, TX20 DSC-TX30, DSCTX30, TX30 DSC-TX1, DSCTX1, TX1 DSC-TX10, DSCTX10, TX10 DSC-TX100, DSCTX100, TX100 DSC-TX5, DSCTX5, TX5 DSC-TX55, DSCTX55, TX55 DSC-TX7, DSCTX7, TX7 DSC-TX9, DSCTX9, TX9 DSC-T99, DSCT99, T99 DSC-T110, DSCT110, T110 DSC-W310, DSCW310, W310 DSC-W320, DSCW320, W320 DSC-W330, DSCW330, W330 DSC-W350, DSCW350, W350 DSC-W360, DSCW360, W360 DSC-W380, DSCW380, W380 DSC-W390, DSCW390, W390 DSC-W510, DSCW510, W510 DSC-W530, DSCW530, W530 DSC-W560, DSCW560, W560 DSC-W570, DSCW570, W570 DSC-W610, DSCW610, W610 DSC-W620, DSCW620, W620 DSC-W630, DSCW630, W630 DSC-W650, DSCW650, W650 DSC-W690, DSCW690, W690 DSC-W710, DSCW710, W710 DSC-W730, DSCW730, W730 DSC-W800, DSCW800, W800 DSC-W830, DSCW830, W830 DSC-WX5, DSCWX5, WX5 DSC-WX7, DSCWX7, WX7 DSC-WX9, DSCWX9, WX9 DSC-WX50, DSCWX50, WX50 DSC-WX70, DSCWX70, WX70 DSC-WX80, DSCWX80, WX80 DSC-WX100, DSCWX100, WX100 DSC-WX150, DSCWX150, WX150 DSC-WX220, DSCWX220, WX220</t>
  </si>
  <si>
    <t>Sony NP-BN1, Sony NPBN1</t>
  </si>
  <si>
    <t>Sony DSC-RX1, Sony RX1 Sony DSC-RX1R, Sony RX1R Sony DSC-RX1R II, Sony RX1R II Sony DSC-RX100, DSCRX100, Sony RX100 Sony DSC-RX100 II, DSCRX100 II, Sony RX100 II, Sony RX100 M2 Sony DSC-RX100 III, DSCRX100 III, Sony RX100 III, Sony RX100 M3 Sony DSC-RX100 IV, DSCRX100 IV, Sony RX100 IV, Sony RX100 M4 Sony DSC-WX300, DSCWX300, Sony WX300 Sony DSC-WX350, DSCWX350, Sony WX350 Sony DSC-WX500, DSCWX500, Sony WX500 Sony DSC-HX400, DSCHX400, Sony HX400 Sony DSC-H400, DSCH400, Sony H400 Sony DSC-HX300, DSCHX300, Sony HX300 Sony DSC-HX50V, DSCHX50V, Sony HX90 Sony DSC-HX90, DSCHX90, Sony HX50 Sony FDR-X1000, FDRX1000, Sony X1000 Sony HDR-AS10, HDRAS10, Sony AS10 Sony HDR-AS15, HDRAS15, Sony AS15 Sony HDR-AS20, HDRAS20, Sony AS20 Sony HDR-AS30V, HDRAS30V, Sony AS30V Sony HDR-AS100, HDRAS100, Sony AS100 Sony HDR-AS200, HDRAS200, Sony AS200 Sony HDR-CX240, HDRCX240, Sony CX240 Sony HDR-CX405, HDRCX405, Sony CX405 Sony HDR-CX440, HDRCX440, Sony CX440 Sony HDR-GW66, HDRGW66, Sony GW66 Sony HDR-MV1, HDRMV1, Sony MV1 Sony HDR-PJ275, HDRPJ275, Sony PJ275 Sony HDR-PJ440, HDRPJ440, Sony PJ440</t>
  </si>
  <si>
    <t>Sony NP-BX1, Sony NPBX</t>
  </si>
  <si>
    <t>CCD-RV100, CCDRV100, RV100 CCD-RV200, CCDRV200, RV200 CCD-SC5, CCDSC5, SC5 CCD-SC6, CCDSC6, SC6 CCD-SC7, CCDSC7, SC7 CCD-SC8, CCDSC8, SC8 CCD-SC9, CCDSC9, SC9 CCD-SC55, CCDSC55, SC55 CCD-SC65, CCDSC65, SC65 CCD-TR1, CCDTR1, TR1 CCD-TR11, CCDTR11, TR11 CCD-TR1100E, CCDTR1100E, TR1100E CCD-TR12, CCDTR12, TR12 CCD-TR18, CCDTR18, TR18 CCD-TR2, CCDTR2, TR2 CCD-TR200, CCDTR200, TR200 CCD-TR205, CCDTR205, TR205 CCD-TR215, CCDTR215, TR215 CCD-TR2200, CCDTR2200, TR2200 CCD-TR2300, CCDTR2300, TR2300 CCD-TR280, CCDTR280, TR280 CCD-TR290, CCDTR290, TR290 CCD-TR3, CCDTR3, TR3 CCD-TR300, CCDTR300, TR300 CCD-TR3000, CCDTR3000, TR3000 CCD-TR3100, CCDTR3100, TR3100 CCD-TR311, CCDTR311, TR311 CCD-TR315, CCDTR315, TR315 CCD-TR317, CCDTR317, TR317 CCD-TR3200, CCDTR3200, TR3200 CCD-TR3300, CCDTR3300, TR3300 CCD-TR411, CCDTR411, TR411 CCD-TR412, CCDTR412, TR412 CCD-TR413, CCDTR413, TR413 CCD-TR414, CCDTR414, TR414 CCD-TR415, CCDTR415, TR415 CCD-TR416, CCDTR416, TR416 CCD-TR417, CCDTR417, TR417 CCD-TR425, CCDTR425, TR425 CCD-TR427, CCDTR427, TR427 CCD-TR500, CCDTR500, TR500 CCD-TR511, CCDTR511, TR511 CCD-TR512, CCDTR512, TR512 CCD-TR515, CCDTR515, TR515 CCD-TR516, CCDTR516, TR516 CCD-TR517, CCDTR517, TR517 CCD-TR555, CCDTR555, TR555 CCD-TR57, CCDTR57, TR57 CCD-TR610, CCDTR610, TR610 CCD-TR617, CCDTR617, TR617 CCD-TR618, CCDTR618, TR618 CCD-TR640, CCDTR640, TR640 CCD-TR67, CCDTR67, TR67 CCD-TR710, CCDTR710, TR710 CCD-TR713, CCDTR713, TR713 CCD-TR716, CCDTR716, TR716 CCD-TR717, CCDTR717, TR717 CCD-TR718, CCDTR718, TR718 CCD-TR728, CCDTR728, TR728 CCD-TR730, CCDTR730, TR730 CCD-TR76, CCDTR76, TR76 CCD-TR760, CCDTR760, TR760 CCD-TR810, CCDTR810, TR810 CCD-TR818, CCDTR818, TR818 CCD-TR840, CCDTR840, TR840 CCD-TR845, CCDTR845, TR845 CCD-TR87, CCDTR87, TR87 CCD-TR910, CCDTR910, TR910 CCD-TR913, CCDTR913, TR913 CCD-TR917, CCDTR917, TR917 CCD-TR918, CCDTR918, TR918 CCD-TR930, CCDTR930, TR930 CCD-TR940, CCDTR940, TR940 CCD-TR950, CCDTR950, TR950 CCD-TR97, CCDTR97, TR97 CCD-TRT97, CCDTRT97, TRT97 CCD-TRV101, CCDTRV101, TRV101 CCD-TRV15, CCDTRV15, TRV15 CCD-TRV16, CCDTRV16, TRV16 CCD-TRV17, CCDTRV17, TRV17 CCD-TRV201, CCDTRV201, TRV201 CCD-TRV215, CCDTRV215, TRV215 CCD-TRV25, CCDTRV25, TRV25 CCD-TRV26, CCDTRV26, TRV26 CCD-TRV27, CCDTRV27, TRV27 CCD-TRV300, CCDTRV300, TRV300 CCD-TRV3000, CCDTRV3000, TRV3000 CCD-TRV315, CCDTRV315, TRV315 CCD-TRV35, CCDTRV35, TRV35 CCD-TRV36, CCDTRV36, TRV36 CCD-TRV37, CCDTRV37, TRV37 CCD-TRV4, CCDTRV4, TRV4 CCD-TRV41, CCDTRV41, TRV41 CCD-TRV43, CCDTRV43, TRV43 CCD-TRV45, CCDTRV45, TRV45 CCD-TRV46, CCDTRV46, TRV46 CCD-TRV47, CCDTRV47, TRV47 CCD-TRV48, CCDTRV48, TRV48 CCD-TRV49, CCDTRV49, TRV49 CCD-TRV51, CCDTRV51, TRV51 CCD-TRV510, CCDTRV510, TRV510 CCD-TRV517, CCDTRV517, TRV517 CCD-TRV54, CCDTRV54, TRV54 CCD-TRV55, CCDTRV55, TRV55 CCD-TRV56, CCDTRV56, TRV56 CCD-TRV57, CCDTRV57, TRV57 CCD-TRV58, CCDTRV58, TRV58 CCD-TRV59, CCDTRV59, TRV59 CCD-TRV615, CCDTRV615, TRV615 CCD-TRV62, CCDTRV62, TRV62 CCD-TRV63, CCDTRV63, TRV63 CCD-TRV65, CCDTRV65, TRV65 CCD-TRV66, CCDTRV66, TRV66 CCD-TRV67, CCDTRV67, TRV67 CCD-TRV68, CCDTRV68, TRV68 CCD-TRV71, CCDTRV71, TRV71 CCD-TRV715, CCDTRV715, TRV715 CCD-TRV716, CCDTRV716, TRV716 CCD-TRV72, CCDTRV72, TRV72 CCD-TRV720, CCDTRV720, TRV720 CCD-TRV75, CCDTRV75, TRV75 CCD-TRV78, CCDTRV78, TRV78 CCD-TRV80, CCDTRV80, TRV80 CCD-TRV81, CCDTRV81, TRV81 CCD-TRV815, CCDTRV815, TRV815 CCD-TRV82, CCDTRV82, TRV82 CCD-TRV85, CCDTRV85, TRV85 CCD-TRV86, CCDTRV86, TRV86 CCD-TRV87, CCDTRV87, TRV87 CCD-TRV88, CCDTRV88, TRV88 CCD-TRV90, CCDTRV90, TRV90 CCD-TRV91, CCDTRV91, TRV91 CCD-TRV92, CCDTRV92, TRV92 CCD-TRV93, CCDTRV93, TRV93 CCD-TRV930, CCDTRV930, TRV930 CCD-TRV94, CCDTRV94, TRV94 CCD-TRV940, CCDTRV940, TRV940 CCD-TRV95, CCDTRV95, TRV95 CCD-TRV97, CCDTRV97, TRV97 CCD-TRV98, CCDTRV98, TRV98 CCD-TRV99, CCDTRV99, TRV99 CVX-V18NS, CVXV18NS, V18NS CVX-V18NSP, CVXV18NSP, V18NSP DCR-SC100, DCRSC100, SC100 DCR-TR7, DCRTR7, TR7 DCR-TR7000, DCRTR7000, TR7000 DCR-TR7100, DCRTR7100, TR7100 DCR-TR8000, DCRTR8000, TR8000 DCR-TR8100, DCRTR8100, TR8100 DCR-TRU47, DCRTRU47, TRU47 DCR-TRV103, DCRTRV103, TRV103 DCR-TRV110, DCRTRV110, TRV110 DCR-TRV120, DCRTRV120, TRV120 DCR-TRV125, DCRTRV125, TRV125 DCR-TRV130, DCRTRV130, TRV130 DCR-TRV203, DCRTRV203, TRV203 DCR-TRV210, DCRTRV210, TRV210 DCR-TRV220, DCRTRV220, TRV220 DCR-TRV310, DCRTRV310, TRV310 DCR-TRV315, DCRTRV315, TRV315 DCR-TRV320, DCRTRV320, TRV320 DCR-TRV410, DCRTRV410, TRV410 DCR-TRV420, DCRTRV420, TRV420 DCR-TRV49, DCRTRV49, TRV49 DCR-TRV5, DCRTRV5, TRV5 DCR-TRV510, DCRTRV510, TRV510 DCR-TRV520, DCRTRV520, TRV520 DCR-TRV525, DCRTRV525, TRV525 DCR-TRV58, DCRTRV58, TRV58 DCR-TRV620, DCRTRV620, TRV620 DCR-TRV7, DCRTRV7, TRV7 DCR-TRV720, DCRTRV720, TRV720 DCR-TRV735, DCRTRV735, TRV735 DCR-TRV820, DCRTRV820, TRV820 DCR-TRV9, DCRTRV9, TRV9 DCR-TRV900, DCRTRV900, TRV900 DCR-TRV935, DCRTRV935, TRV935 DCR-TV900, DCRTV900, TV900 DCR-VX2000, DCRVX2000, VX2000 DCR-VX2001, DCRVX2001, VX2001 DCR-VX2100, DCRVX2100, VX2100 DCR-VX9, DCRVX9, VX9 DCR-VX9000, DCRVX9000, VX9000 DSR-200, DSR200 DSR-DU1, DSRDU1 DSR-PD100, DSRPD100 DSR-PD150, DSRPD150 DSR-PD170, DSRPD170 DSR-PD190, DSRPD190 DSR-V10, DSRV10 EVO-250, EVO250 FDR-AX1, FDRAX1 NEX-EA50, NEXEA50 NEX-FS100, NEXFS100 NEX-FS700, NEXFS700 GV-A100, GVA100 GV-A500, GVA500 GV-A700, GVA700 GV-HD700, GVHD700 GV-D200, GVD200 GV-D300, GVD300 GV-D700, GVD700 GV-D800, GVD800 GV-D900, GVD900 HDR-AX2000, HDRAX2000, AX2000 HDR-FX1, HDRFX1, FX1 HDR-FX1000, HDRFX1000, FX1000 HDR-FX7, HDRFX7, FX7 HVL-20DW, HVL20DW HVL-20DW2, HVL20DW2 HVL-LBPA, HVLLBPA HVL-ML20, HVLML20 HVR-DR60, HVRDR60 HVR-HD1000, HVRHD1000 HVR-M10, HVRM10 HVR-V1J, HVRV1J, V1J HVR-V1U, HVRV1U, V1U HVR-Z1, HVRZ1, Z1 HVR-Z1U, HVRZ1U, Z1U HVR-Z5, HVRZ5, Z5 HVR-Z7U, HVRZ7U, Z7U HXR-MC1500, HXRMC1500, MC1500 HXR-MC2000, HXRMC2000, MC2000 HXR-MC2500, HXRMC2500, MC2500 HXR-NX3, HXRNX3, NX3 HXR-NX5, HXRNX5, NX5 MPK-DVF4, MPKDVF4 PBD-D50, PBDD50 PBD-V30, PBDV30 PLM-100, PLM100 PLM-50, PLM50 PLM-A35, PLMA35 PLM-A55, PLMA55</t>
  </si>
  <si>
    <t>Sony NP-F950, NPF950, Sony NP-F960, NPF960, Sony NP-F970, NPF970</t>
  </si>
  <si>
    <t>Sony Alpha SLT-A57, Sony Alpha A57 Sony Alpha SLT-A58, Sony Alpha A58 Sony Alpha SLT-A65, SLTA65, A65 Sony Alpha SLT-A77, SLTA77, A77 Sony Alpha SLT-A77 II, SLTA77 II, A77 2 Sony Alpha SLT-A99, Sony Alpha A99 Sony Alpha A100, A100 Sony Alpha A200, A200 Sony Alpha A300, A300 Sony Alpha A350, A350 Sony Alpha A500, A500 Sony Alpha A550, A550 Sony Alpha A560, A560 Sony Alpha A580, A580 Sony Alpha A700, A700 Sony Alpha A850, A850 Sony Alpha A900, A900</t>
  </si>
  <si>
    <t>Sony NP-FM500H, Sony NPFM500H</t>
  </si>
  <si>
    <t>DCR-PJ5, DCRPJ5, PJ5 DCR-SR15, DCRSR15, SR15 DCR-SR20, DCRSR20, SR20 DCR-SR21, DCRSR21, SR21 DCR-SR68, DCRSR68, SR68 DCR-SR78, DCRSR78, SR78 DCR-SR88, DCRSR88, SR88 DCR-SX15, DCRSX15, SX15 DCR-SX20, DCRSX20, SX20 DCR-SX21, DCRSX21, SX21 DCR-SX33, DCRSX33, SX33 DCR-SX34, DCRSX34, SX34 DCR-SX43, DCRSX43, SX43 DCR-SX44, DCRSX44, SX44 DCR-SX45, DCRSX45, SX45 DCR-SX53, DCRSX53, SX53 DCR-SX63, DCRSX63, SX63 DCR-SX65, DCRSX65, SX65 DCR-SX83, DCRSX83, SX83 DCR-SX85, DCRSX85, SX85 Digital Recording Binoculars DEV-3 Digital Recording Binoculars DEV-5 FDR-AX33, AX33 FDR-AX100, AX100 Handycam NEX-VG10, NEXVG10, VG10 Handycam NEX-VG20, NEXVG20, VG20 Handycam NEX-VG30, NEXVG30, VG30 Handycam NEX-VG900, VG900 HDR-CX110, HDRCX110, CX110 HDR-CX130, HDRCX130, CX130 HDR-CX150, HDRCX150, CX150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HDR-CX360, HDRCX360, CX360 HDR-CX370, HDRCX370, CX370 HDR-CX380, HDRCX380, CX380 HDR-CX390, HDRCX390, CX390 HDR-CX400, HDRCX400, CX400 HDR-CX410, HDRCX410, CX410 HDR-CX430, HDRCX430, CX430 HDR-CX510, HDRCX510, CX510 HDR-CX550, HDRCX550, CX550 HDR-CX560, HDRCX560, CX560 HDR-CX580, HDRCX580, CX580 HDR-CX700, HDRCX700, CX700 HDR-CX730, HDRCX730, CX730 HDR-CX740, HDRCX740, CX740 HDR-CX760, HDRCX760, CX760 HDR-CX900, HDRCX900, CX900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HDR-XR155, HDRXR155, XR155 HDR-XR160, HDRXR160, XR160 HDR-XR260V, HDRXR260V, XR260V HDR-XR350, HDRXR350, XR350 HDR-XR550, HDRXR550, XR550 HXR-MC50, HXRMC50, MC50 HXR-NX30, HXRNX30, NX30 HXR-NX70, HXRNX70, NX70</t>
  </si>
  <si>
    <t>NP-FV100, NPFV100</t>
  </si>
  <si>
    <t>DCR-PJ5, DCRPJ5, PJ5 DCR-PJ5E, DCRPJ5E, PJ5E DCR-SR15, DCRSR15, SR15 DCR-SR15E, DCRSR15E, SR15E DCR-SR20, DCRSR20, SR20 DCR-SR20E, DCRSR20E, SR20E DCR-SR21, DCRSR21, SR21 DCR-SR21E, DCRSR21E, SR21E DCR-SR68, DCRSR68, SR68 DCR-SR78, DCRSR78, SR78 DCR-SR78E, DCRSR78E, SR78E DCR-SR88, DCRSR88, SR88 DCR-SX15, DCRSX15, SX15 DCR-SX15E, DCRSX15E, SX15E DCR-SX20, DCRSX20, SX20 DCR-SX20E, DCRSX20E, SX20E DCR-SX21, DCRSX21, SX21 DCR-SX21E, DCRSX21E, SX21E DCR-SX33, DCRSX33, SX33 DCR-SX33E, DCRSX33E, SX33E DCR-SX34, DCRSX34, SX34 DCR-SX34E, DCRSX34E, SX34E DCR-SX43, DCRSX43, SX43 DCR-SX43E, DCRSX43E, SX43E DCR-SX44, DCRSX44, SX44 DCR-SX45, DCRSX45, SX45 DCR-SX45/L, DCRSX45/L, SX45/L DCR-SX45/S, DCRSX45/S, SX45/S DCR-SX45E, DCRSX45E, SX45E DCR-SX53, DCRSX53, SX53 DCR-SX53E, DCRSX53E, SX53E DCR-SX63, DCRSX63, SX63 DCR-SX65, DCRSX65, SX65 DCR-SX83, DCRSX83, SX83 DCR-SX85, DCRSX85, SX85 DCR-SX85/S, DCRSX85/S, SX85/S DCR-SX85E, DCRSX85E, SX85E Digital Recording Binoculars DEV-3 Digital Recording Binoculars DEV-5 FDR-AX33, FDRAX33, AX33 Handycam NEX-VG10, NEXVG10, VG10 Handycam NEX-VG20, NEXVG20, VG20 Handycam NEX-VG20H, NEXVG20H, VG20H Handycam NEX-VG30, NEXVG30, VG30 Handycam NEX-VG900, VG900 HDR-CX110, HDRCX110, CX110 HDR-CX130, HDRCX130, CX130 HDR-CX150, HDRCX150, CX150 HDR-CX150E, HDRCX150E, CX150E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HDR-CX350E, HDRCX350E, CX350E HDR-CX350V, HDRCX350V, CX350V HDR-CX360, HDRCX360, CX360 HDR-CX370, HDRCX370, CX370 HDR-CX370V, HDRCX370V, CX370V HDR-CX380, HDRCX380, CX380 HDR-CX390, HDRCX390, CX390 HDR-CX400, HDRCX400, CX400 HDR-CX410, HDRCX410, CX410 HDR-CX430, HDRCX430, CX430 HDR-CX510, HDRCX510, CX510 HDR-CX550, HDRCX550, CX550 HDR-CX550E, HDRCX550E, CX550E HDR-CX550V, HDRCX550V, CX550V HDR-CX560, HDRCX560, CX560 HDR-CX560V, HDRCX560V, CX560V HDR-CX580, HDRCX580, CX580 HDR-CX580V, HDRCX580V, CX580V HDR-CX700, HDRCX700, CX700 HDR-CX700V, HDRCX700V, CX700V HDR-CX730, HDRCX730, CX730 HDR-CX740, HDRCX740, CX740 HDR-CX760, HDRCX760, CX760 HDR-CX760V, HDRCX760V, CX760V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HDR-PJ430V, HDRPJ430V, PJ430V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HDR-XR150E, HDRXR150E, XR150E HDR-XR155, HDRXR155, XR155 HDR-XR160, HDRXR160, XR160 HDR-XR260V, HDRXR260V, XR260V HDR-XR350, HDRXR350, XR350 HDR-XR350E, HDRXR350E, XR350E HDR-XR350V, HDRXR350V, XR350V HDR-XR550, HDRXR550, XR550 HDR-XR550E, HRDXR550E, XR550E HDR-XR550V, HRDXR550V, XR550V HXR-MC50, HXRMC50, MC50 HXR-MC50E, HXRMC50E, MC50E HXR-MC50U, HXRMC50U, MC50U HXR-NX30, HXRNX30, NX30 HXR-NX70, HXRNX70, NX70</t>
  </si>
  <si>
    <t>NP-FV40, NPFV40, NP-FV50, NPFV50, NP-FV60, NPFV60, NP-FV0, NPFV30.</t>
  </si>
  <si>
    <t>NP-FV70, NPFV70</t>
  </si>
  <si>
    <t>Sony Alpha NEX-F3, Sony NEX-F3 Sony Alpha NEX-7, Sony NEX7 Sony Alpha NEX-6, Sony NEX-6 Sony Alpha NEX-5R, Sony NEX-5R Sony Alpha NEX-5T, Sony NEX-5T Sony Alpha NEX-5, Sony NEX5 Sony Alpha NEX-5N, Sony NEX5N Sony Alpha NEX-3, Sony NEX3 Sony Alpha NEX-3N, Sony NEX3N, Sony NEX-3N Sony Alpha NEX-C3, Sony NEXC3 Sony Alpha NEX-C5, Sony NEXC5 Sony Alpha SLT-A33, SLTA33 Sony Alpha SLT-A37, SLTA37 Sony Alpha SLT-A55, SLTA55 Sony Alpha A3000, Sony A3000 Sony Alpha A3500, Sony A3500 Sony Alpha A5000, Sony A5000 Sony Alpha A5100, Sony A5100 Sony Alpha A6000, Sony A6000 Sony α7, Sony Alpha 7, Sony A7 Sony α7 II, Sony Alpha 7 II, Sony A7II Sony α7R, Sony Alpha 7R, Sony A7R Sony α7R II, Sony Alpha 7R II, Sony A7RII Sony α7S, Sony Alpha 7S, Sony A7S Sony α7S II, Sony Alpha 7S II, Sony A7SII Sony Cybershot DSC-RX10, DSCRX10, RX10 Sony Cybershot DSC-RX10 II, DSCRX10II, RX10 II Sony ILCE-QX1, QX1</t>
  </si>
  <si>
    <t>Fujifilm X-A1 Fujifilm X-A2 Fujifilm X-E1 Fujifilm X-E2 Fujifilm X-M1 Fujifilm X-Pro1 Fujifilm X-T1 Fujifilm X-T1 IR Fujifilm X-T10 Fujifilm FinePix HS30EXR Fujifilm FinePix HS33EXR Fujifilm FinePix HS35EXR Fujifilm FinePix HS50EXR</t>
  </si>
  <si>
    <t>Fuji NP-W126, NPW126</t>
  </si>
  <si>
    <t>Samsung EX2F Samsung L100, L110, L120, L200, L210, L310W, L313 Samsung ES50, ES55 Samsung HZ10W, HZ15W Samsung IT100 Samsung M100, M110, M310W Samsung NV9 Samsung P800, P1000 Samsung PL50, PL51, PL55, PL57, PL60, PL65, PL70 Samsung SL102, SL105, SL202, SL203, SL310, SL310W, SL420, SL502, SL620, SL720, SL820 Samsung TL9 Samsung WB150F Samsung WB250F Samsung WB350F Samsung WB380 Samsung WB500 Samsung WB550 Samsung WB750 Samsung WB850F Samsung WB800F Samsung WB1100F Samsung WB1101F Samsung WB1102 Samsung WB2100 Samsung HMX-U100 Samsung HMX-U100UN, HMXU100UN, U100UN Samsung HMX-U100SN, HMXU100SN, U100SN</t>
  </si>
  <si>
    <t>Samsung SLB-10A, SLB10A, 4302-001221, 4302001221</t>
  </si>
  <si>
    <t>AG-AC7, AGAC7, AC7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SDR-H40 SDR-H41 SDR-H50 SDR-H60 SDR-H79 SDR-H79K, SDRH79K, H79K SDR-H79P, SDRH79P, H79P SDR-H80 SDR-H80S, SDRH80S, H80S SDR-H80K, SDRH80K, H80K SDR-H80A, SDRH80A, H80A SDR-H80R, SDRH80R, H80R SDR-H90 SDR-H90K, SDRH90K, H90K VDR-D50 VDR-D50P, VDRD50P, D50P VDR-D51, VDRD51, D51</t>
  </si>
  <si>
    <t>VW-VBG260, VW-VBG260K, VW-VBG260E, VW-VBG260PP, VWVBG260, VWVBG260K, VWVBG260E, VWVBG260PP</t>
  </si>
  <si>
    <t>AG-AC7, AGAC7, AC7 AG-AC130A, AGAC130A, AC130A AG-AC160A, AGAC160A, AC160A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SDR-H79 SDR-H79K, SDRH79K, H79K SDR-H79P, SDRH79P, H79P SDR-H80 SDR-H80S, SDRH80S, H80S SDR-H80K, SDRH80K, H80K SDR-H80A, SDRH80A, H80A SDR-H80R, SDRH80R, H80R SDR-H90 SDR-H90K, SDRH90K, H90K VDR-D50 VDR-D50P, VDRD50P, D50P VDR-D51, VDRD51, D51</t>
  </si>
  <si>
    <t>VW-VBG6, VW-VBG6K, VW-VBG6E, VW-VBG6PP, VWVBG6, VWVBG6K, VWVBG6E, VWVBG6PP</t>
  </si>
  <si>
    <t>HC-V10 HC-V10K, HCV10K, V10K HC-V100 HC-V100K, HCV100K, V100K HC-V100M, HCV100M, V100M HC-V500 HC-V500K, HCV500K, V500K HC-V500M, HCV500M, V500M HDC-SD40 HDC-SD40K, HDCSD40K, SD40K HDC-SD60 HDC-SD60K, HDCSD60K, SD60K HDC-SD60S, HDCSD60S, SD60S HDC-SD80 HDC-SD80K, HDCSD80K, SD80K HDC-SD80S, HDCSD80S, SD80S HDC-SD80R, HDCSD80R, SD80R HDC-SD90 HDC-SD90K, HDCSD90K, SD90K HDC-SDX1 HDC-SDX1H, HDCSDX1H, SDX1H HDC-TMX1, HDCTMX1, TMX1 HDC-TM40 HDC-TM40K, HDCTM40K, TM40K HDC-TM41 HDC-TM41H, HDCTM41H, TM41H HDC-TM55 HDC-TM55K, HDCTM55K, TM55K HDC-TM60 HDC-TM60K, HDCTM60K, TM60K HDC-TM80 HDC-TM80K, HDCTM80K, TM80K HDC-TM80S, HDCTM80S, TM80S HDC-TM80R, HDCTM80R, TM80R HDC-TM90 HDC-TM90K, HDCTM90K, TM90K HDC-TMX1, HDCTMX1, TMX1 HDC-HS40 HDC-HS40K, HDCHS40K, HS40K HDC-HS60 HDC-HS60K, HDCHS60K, HS60K HDC-HS80 HDC-HS80K, HDCHS80K, HS80K SDR-H85 SDR-H85A, SDRH85A, H85A SDR-H85K, SDRH85K, H85K SDR-H85S, SDRH85S, H85S SDR-H95 SDR-H95K, SDRH95K, H95K SDR-H100 SDR-H100K, SDRH100K, H100K SDR-H100S, SDRH100S, H100S SDR-H100R, SDRH100R, H100R SDR-H101 SDR-H101K, SDRH101K, H101K SDR-H101R, SDRH101R, H101R SDR-HS60 SDR-HS60K, SDRHS60K, HS60K SDR-HS80 SDR-HS80K, SDRHS80K, HS80K SDR-S45, SDRS45, S45 SDR-S50 SDR-S50A, SDRS50A, S50A SDR-S50K, SDRS50K, S50K SDR-S50N, SDRS50N, S50N SDR-S70 SDR-S70K, SDRS70K, S70K SDR-S70S, SDRS70S, S70S SDR-S70R, SDRS70R, S70R SDR-S71 SDR-S71K, SDRS71K, S71K SDR-T50 SDR-T50K, SDRT50K, T50K SDR-T55 SDR-T55K, SDRT55K, T55K SDR-T70 SDR-T70K, SDRT70K, T70K SDR-T71 SDR-T71K, SDRT71K, T71K SDR-T76 SDR-T76K, SDRT76K, T76K</t>
  </si>
  <si>
    <t>VW-VBL090, VWVBL090, VBL090, VW-VBL90, VWVBL90, VBL90, VW-VBK180, VW-VBK180K, VW-VBK180PP, VWVBK180, VWVBK180K, VWVBK180PP, VW-VBK180E, VWVBK180E, VW-VBK360, VW-VBK360K, VW-VBK360PP, VWVBK360, VWVBK360K, VWVBK360PP, VW-VBK360E, VWVBK360E</t>
  </si>
  <si>
    <t>HC-X900, HCX900, X900 HC-X920, HCX920, X920 HDC-HS900 HDC-HS900K, HDCHS900K, HS900K HDC-SD800 HDC-SD800K, HDCSD800K, SD800K HDC-SD900 HDC-SD900K, HDCSD900K, SD900K HDC-SD909 HDC-SD909K, HDCSD909K, SD909K HDC-TM900 HDC-TM900K, HDCTM900K, TM900K</t>
  </si>
  <si>
    <t>VW-VBN130, VW-VBN130K, VW-VBN130PP, VW-VBN130E, VWVBN130, VWVBN130K, VWVBN130PP, VWVBN130E</t>
  </si>
  <si>
    <t>VW-VBN260, VW-VBN260K, VW-VBN260PP, VW-VBN260E, VWVBN260, VWVBN260K, VWVBN260PP, VWVBN260E</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</si>
  <si>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 Victor JVC BN-VF815U, BN-VF815, BNVF815U, BNVF815, BN-VF815US, BNVF815US, BN-VF815USM, BNVF815USM, BN-VF815JP, BNVF815JP</t>
  </si>
  <si>
    <t>Victor JVC BN-VF815U, BN-VF815, BNVF815U, BNVF815, BN-VF815US, BNVF815US, BN-VF815USM, BNVF815USM, BN-VF815JP, BNVF815JP</t>
  </si>
  <si>
    <t>GC-PX10, GCPX10, PX10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GY-HM170U, GYHM170U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</si>
  <si>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BN-VF823U, BN-VF823, BNVF823U, BNVF823, BN-VF823US, BNVF823US, BN-VF823USM, BNVF823USM, BN-VF823JP, BNVF823JP</t>
  </si>
  <si>
    <t>GZ-E10, GZE10, E10 GZ-E100, GZE100, E100 GZ-E200, GZE200, E200 GZ-E205, GZE205, E205 GZ-E220, GZE220, E220 GZ-E300, GZE300, E300 GZ-E306, GZE306, E306 GZ-E505,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</si>
  <si>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JVC BN-VG121, BN-VG121U, BN-VG121E, BN-VG121US, BN-VG121USM, BNVG121, BNVG121U, BNVG121E, BNVG121USM, LY37166-002B, LY37166-002C</t>
  </si>
  <si>
    <t>GZ-E10, GZE10, E10 GZ-E100, GZE100, E100 GZ-E200, GZE200, E200 GZ-E205, GZE205, E205 GZ-E220, GZE220, E220 GZ-E300, GZE300, E300 GZ-E306, GZE306, E306 GZ-E505, GZE505, 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</si>
  <si>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Victor JVC BN-VG138, BN-VG138E, BN-VG138U, BN-VG138USM, BNVG138, BNVG138U, BNVG138E, BNVG138USM</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</si>
  <si>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</si>
  <si>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Panasonic DMW-BCF10, DMWBCF10, DMW-BCF10PP, DMWBCF10PP, DMW-BCF10E, DMWBCF10E, CGA-S106B, CGA-S106, CGA-S/106C, CGAS106, CGA-S/106B</t>
  </si>
  <si>
    <t>Samsung NX-300, NX300 Samsung NX-500, NX500 Samsung NX-2000, NX2000</t>
  </si>
  <si>
    <t>Samsung ED-BP1130, EDBP1130, BP1130</t>
  </si>
  <si>
    <t>Nikon COOLPIX B700, Nikon B700 Nikon COOLPIX P600, Nikon P600 Nikon COOLPIX P610, Nikon P610 Nikon COOLPIX P900, Nikon P900 Nikon COOLPIX S810c, Nikon S810c</t>
  </si>
  <si>
    <t>Nikon EN-EL23, ENEL23</t>
  </si>
  <si>
    <t>Canon Powershot SX40 HS, SX40HS Canon Powershot SX50 HS, SX50HS Canon Powershot SX60 HS, SX60HS Canon Powershot G1 X, Canon G1X Canon Powershot G3 X, Canon G3X Canon Powershot G15, Canon G15 Canon Powershot G16, Canon G16</t>
  </si>
  <si>
    <t>Canon NB10L, Canon NB-10L, Canon 5668B001</t>
  </si>
  <si>
    <t>Original</t>
  </si>
  <si>
    <t>Canon PowerShot ELPH 110 HS, Canon 110 HS, Canon ELPH 110 HS, Canon PowerShot 110 HS Canon PowerShot ELPH 115 IS, Canon 115 IS, Canon ELPH 115 IS, Canon PowerShot 115 Canon PowerShot ELPH 130 IS, Canon ELPH 130 IS, Canon PowerShot 130 IS Canon PowerShot ELPH 135, Canon ELPH 135, Canon PowerShot 135 Canon PowerShot ELPH 140 IS, Canon ELPH 140 IS, Canon PowerShot 140 IS Canon PowerShot ELPH 150 IS, Canon ELPH 150 IS, Canon PowerShot 150 IS Canon PowerShot ELPH 160, Canon ELPH 160, Canon PowerShot 160 Canon PowerShot ELPH 170 IS, Canon ELPH 170 IS, Canon PowerShot 170 IS Canon PowerShot ELPH 320 HS, Canon 320 HS, Canon ELPH 320 HS, Canon PowerShot 320 HS Canon PowerShot ELPH 340 HS, Canon 340 HS, Canon ELPH 340 HS, Canon PowerShot 340 HS Canon PowerShot ELPH 350 HS, Canon 350 HS, Canon ELPH 350 HS, Canon PowerShot 350 HS Canon IXUS 240 HS, Canon 240 HS, 240HS Canon PowerShot A2300, Canon A2300 Canon PowerShot A2400 IS, Canon A2400 IS, Canon A2400 Canon PowerShot A2500, Canon A2500 Canon PowerShot A2600, Canon A2600 Canon PowerShot A3400 IS, Canon A3400 IS, Canon A3400 Canon PowerShot A3500 IS, Canon A3500 IS, Canon A3500 Canon PowerShot A4000 IS, A4000 IS, Canon A4000 IS, Canon A4000 Canon PowerShot SX400 IS, SX400 IS, Canon SX400 IS, Canon SX400 Canon PowerShot SX410 IS, SX410 IS, Canon SX410 IS, Canon SX410</t>
  </si>
  <si>
    <t>Canon NB11L, Canon NB-11L, NB-11LH, NB11LH</t>
  </si>
  <si>
    <t>Canon PowerShot S30 / Canon S30 Canon PowerShot S40 / Canon S40 Canon PowerShot S45 /Canon S45 Canon PowerShot S50 /Canon S50 Canon PowerShot S55 / Canon S55 Canon PowerShot S60 /Canon S60 Canon PowerShot S70 /Canon S70 Canon PowerShot S80 / Canon S80 Canon PowerShot G7 / Canon G7 Canon PowerShot G9 / Canon G9 Canon DC310 Canon DC320 Canon DC330 Canon DC410 Canon DC420 Canon HV20 Canon HG10 Canon Digital Rebel XT / Canon Rebel XT / Canon XT Canon Digital Rebel XTi /Canon Rebel XTi / Canon XTi Canon EOS Kiss Digital N Canon EOS-350D, EOS 350D / Canon 350D Canon EOS-400D, EOS 400D / Canon 440D Canon Optura 30 / Optura 30 Canon Optura 40 / Optura 40 Canon Optura 50 / Optura 50 Canon Optura 400 / Optura 400 Canon Optura 500 / Optura 500 Canon Optura 60 / Optura 60 Canon ZR-100 / ZR100 Canon ZR-200 / ZR200 Canon ZR-300 / ZR300 Canon ZR-400 / ZR400 Canon ZR-500 / ZR500 Canon ZR-600 / ZR600 Canon ZR-700 / ZR700 Canon Elura 40MC / Elura 40MC Canon Elura 50 / Elura 50 Canon Elura 60 / Elura 60 Canon Elura 65 / Elura 65 Canon Elura 70 / Elura 70 Canon Elura 80 / Elura 80 Canon Elura 85 / Elura 85 Canon Elura 90 / Elura 90 Canon FVM20 / FVM20 Canon FVM30 / FVM30 Canon FVM100 KIT / FVM100 Canon FVM200 / FVM200 Canon FV500 / FV 500 Canon IXY DV3 / IXY DV3 Canon IXY DVM3 / IXY DMV3 Canon IXY DV5 / IXY DV 5 Canon MV5 / MV 5 Canon MV5i / MV 5i Canon MV5iMC, MV5i MC Canon MV6iMC, MV6i MC Canon MV800, MV-800 Canon MV830, MV-830 Canon MV830i, MV-830i Canon MV850i, MV-850i Canon MV880X, MV-880X Canon MV920, MV-920 Canon MVX20i, MV X20i, MVX-20i Canon MVX25i, MV X25i, MVX-25i Canon MVX30i, MV X30i, MVX-30i Canon MVX35i, MV X35i, MVX-35i Canon MVX40i, MV X40i, MVX-40i Canon MVX45i, MV X45i, MVX-45i Canon MVX200, MV X200, MVX-200 Canon MVX200i, MV X200i, MVX-200i Canon MVX250i, MV X250i, MVX-250i Canon MVX300i, MV X300i, MVX-300i Canon MVX330i, MV X330i, MVX-330i Canon MVX350i, MV X350i, MVX-350i Canon VIXIA HF R10, HFR10 Canon VIXIA HF R11, HFR11 Canon VIXIA HF R100, HFR100</t>
  </si>
  <si>
    <t>Canon BP-2L5, BP2L5, BTI-CNNB2L, Battery-Biz B-9581, BatteryValues B-9581, BTI BTI-CNNB2L, Canon 7302A001AA, Canon DDNB-2L, Canon HS-DCL2L, Canon LIC2L12, Canon NB2L, Canon NB2LH, Canon NB-2L, Canon NB-2LH, Delkin DDNB-2L, DigiPower BP-CN2L, DSMiller B-9581, Duracell DRC2L, Duracell DRC2LRES, Energizer ER-D120, GP VCL004, Hahnel HL-HL-2L, Hama 47219, Hi-Capacity B-9581, IDP PR-109DG, Lenmar DLC2L, Lenmar DLC2L12, Lenmar LIC2LI2, Maxell B-9581, Maxell DC3778, Polaroid B-9581, Polaroid PR-109DG, Power Battery BP-CN2L, Rayovac RV-DC1200, Sakar BP-2LCL, Uniross VB102186, US Power BCD1067, Varta P38, Vivanco BP-0567</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</si>
  <si>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</si>
  <si>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</si>
  <si>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</si>
  <si>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Canon Powershot ELPH 500 HS, 500HS, Canon 500 HS, ELPH 500 Canon Powershot SD770 IS, SD770IS, SD770 IS, Canon SD770 IS Canon Powershot SD980 IS, SD980IS, SD980 IS, Canon SD980 IS Canon Powershot SD1200 IS, SD1200IS, SD1200 IS, Canon SD1200 IS Canon Powershot SD1300 IS, SD1300IS, Canon SD1300 IS, Canon SD1300IS Canon Powershot SD3500 IS, SD3500IS, Canon SD3500 IS, Canon SD3500IS Canon Powershot SD4000 IS, SD4000IS, Canon SD4000 IS, Canon SD4000IS Canon Powershot D10, Canon D10 IS, Canon D 10, Canon D10 Canon Powershot D20, Canon D20, Canon D 20 Canon Powershot D30, Canon D30 Canon Powershot S90, Canon S90 IS, PowerShot S90 Canon Powershot S95,S 95 Canon, PowerShot S95 Canon Powershot S120, Canon S120, Powershot S120 Canon Powershot SX170 IS, Canon SX170 Canon Powershot SX240 HS Canon Powershot SX260 HS Canon Powershot SX270 HS Canon Powershot SX280 HS Canon Powershot SX500 IS Canon Powershot SX510 HS, Canon SX510 Canon Powershot SX520 HS, Canon SX520 Canon Powershot SX530 HS, Canon SX530 Canon Powershot SX600 HS, Canon SX600 Canon Powershot SX610 HS, Canon SX610 Canon Powershot SX700 HS, Canon SX700 Canon Powershot SX710 HS, Canon SX710 Canon IXUS 85 IS, IXUS 85 IS Canon IXUS 95 IS, IXUS 95 IS Canon IXY Digital 25 IS Canon Digital IXUS 200 IS Canon Digital IXUS 210 Canon Digital IXUS 105</t>
  </si>
  <si>
    <t>Canon NB6L, Canon NB-6L, Canon NB-6LH, Canon NB6LH, 2607B001</t>
  </si>
  <si>
    <t>Canon Powershot G10, Canon G10, PowerShot G10 Canon Powershot G11, Canon G11, PowerShot G11 Canon Powershot G12, Canon G12, PowerShot G12 Canon PowerShot SX30 IS, Canon SX 30 IS, SX30IS, PowerShot SX 30 IS,</t>
  </si>
  <si>
    <t>Canon NB7L, Canon NB-7L, 3153B001</t>
  </si>
  <si>
    <t>Canon Powershot A2200, Canon A2200, Power Shot A2200 Canon Powershot A3000 IS, A3000IS, A3000 IS, Canon A3000, Canon A3000 IS Canon Powershot A3100 IS, A3100IS, A3100 IS, Canon A3100, Canon A3100 IS Canon Powershot A3200 IS, A3200IS, A3200 IS, Canon A3200, Canon A3200 IS Canon Powershot A3300 IS, A3300IS, A3300 IS, Canon A3300, Canon A3300 IS</t>
  </si>
  <si>
    <t>Canon NB8L, Canon NB-8L</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</si>
</sst>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s>
  <fills count="8">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2" fillId="2" borderId="2" applyNumberFormat="0" applyAlignment="0" applyProtection="0"/>
  </cellStyleXfs>
  <cellXfs count="25">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cellXfs>
  <cellStyles count="2">
    <cellStyle name="Normal" xfId="0" builtinId="0"/>
    <cellStyle name="Output" xfId="1"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2" activePane="bottomLeft" state="frozen"/>
      <selection pane="bottomLeft" activeCell="H2" sqref="H2"/>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40"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tabSelected="1" topLeftCell="A39" zoomScaleNormal="100" workbookViewId="0">
      <selection activeCell="F52" sqref="F52"/>
    </sheetView>
  </sheetViews>
  <sheetFormatPr defaultRowHeight="15" x14ac:dyDescent="0.25"/>
  <cols>
    <col min="1" max="1" width="12.7109375" style="9" bestFit="1" customWidth="1"/>
    <col min="2" max="2" width="11.7109375" style="10" bestFit="1" customWidth="1"/>
    <col min="3" max="3" width="15.28515625" style="15" bestFit="1" customWidth="1"/>
    <col min="4" max="4" width="10.5703125" style="7" bestFit="1" customWidth="1"/>
    <col min="5" max="5" width="14.85546875" style="21" customWidth="1"/>
    <col min="6" max="6" width="26.28515625" style="24" customWidth="1"/>
    <col min="7" max="7" width="5.85546875" style="16" customWidth="1"/>
    <col min="8" max="8" width="33" style="18" customWidth="1"/>
    <col min="9" max="9" width="10.5703125" bestFit="1" customWidth="1"/>
  </cols>
  <sheetData>
    <row r="1" spans="1:8" s="14" customFormat="1" ht="21" x14ac:dyDescent="0.35">
      <c r="A1" s="11" t="s">
        <v>233</v>
      </c>
      <c r="B1" s="12" t="s">
        <v>162</v>
      </c>
      <c r="C1" s="17" t="s">
        <v>163</v>
      </c>
      <c r="D1" s="13" t="s">
        <v>179</v>
      </c>
      <c r="E1" s="20" t="s">
        <v>157</v>
      </c>
      <c r="F1" s="23" t="s">
        <v>161</v>
      </c>
      <c r="H1" s="19" t="s">
        <v>158</v>
      </c>
    </row>
    <row r="2" spans="1:8" x14ac:dyDescent="0.25">
      <c r="A2" s="8" t="s">
        <v>99</v>
      </c>
      <c r="B2" s="10" t="str">
        <f>RIGHT(A2, LEN(A2)-2)</f>
        <v>BCF10</v>
      </c>
      <c r="C2" s="15" t="str">
        <f>"XTCH"&amp;B2</f>
        <v>XTCHBCF10</v>
      </c>
      <c r="D2" s="7" t="s">
        <v>90</v>
      </c>
      <c r="E2" s="21" t="s">
        <v>159</v>
      </c>
      <c r="F2" s="24" t="s">
        <v>160</v>
      </c>
      <c r="H2" s="18" t="s">
        <v>141</v>
      </c>
    </row>
    <row r="3" spans="1:8" x14ac:dyDescent="0.25">
      <c r="A3" s="8" t="s">
        <v>100</v>
      </c>
      <c r="B3" s="10" t="str">
        <f t="shared" ref="B3:B66" si="0">RIGHT(A3, LEN(A3)-2)</f>
        <v>BP1130</v>
      </c>
      <c r="C3" s="15" t="str">
        <f t="shared" ref="C3:C66" si="1">"XTCH"&amp;B3</f>
        <v>XTCHBP1130</v>
      </c>
      <c r="D3" s="7" t="s">
        <v>91</v>
      </c>
      <c r="E3" s="21" t="s">
        <v>164</v>
      </c>
      <c r="F3" s="24" t="s">
        <v>165</v>
      </c>
      <c r="H3" s="18" t="s">
        <v>141</v>
      </c>
    </row>
    <row r="4" spans="1:8" x14ac:dyDescent="0.25">
      <c r="A4" s="8" t="s">
        <v>101</v>
      </c>
      <c r="B4" s="10" t="str">
        <f t="shared" si="0"/>
        <v>ENEL23</v>
      </c>
      <c r="C4" s="15" t="str">
        <f t="shared" si="1"/>
        <v>XTCHENEL23</v>
      </c>
      <c r="D4" s="7" t="s">
        <v>89</v>
      </c>
      <c r="E4" s="21" t="s">
        <v>166</v>
      </c>
      <c r="H4" s="18" t="s">
        <v>141</v>
      </c>
    </row>
    <row r="5" spans="1:8" x14ac:dyDescent="0.25">
      <c r="A5" s="9" t="s">
        <v>102</v>
      </c>
      <c r="B5" s="10" t="str">
        <f t="shared" si="0"/>
        <v>NB10L</v>
      </c>
      <c r="C5" s="15" t="str">
        <f t="shared" si="1"/>
        <v>XTCHNB10L</v>
      </c>
      <c r="D5" s="7" t="s">
        <v>27</v>
      </c>
      <c r="E5" s="21" t="s">
        <v>167</v>
      </c>
      <c r="F5" s="24" t="s">
        <v>168</v>
      </c>
      <c r="H5" s="18" t="s">
        <v>141</v>
      </c>
    </row>
    <row r="6" spans="1:8" x14ac:dyDescent="0.25">
      <c r="A6" s="9" t="s">
        <v>103</v>
      </c>
      <c r="B6" s="10" t="str">
        <f t="shared" si="0"/>
        <v>NB11L</v>
      </c>
      <c r="C6" s="15" t="str">
        <f t="shared" si="1"/>
        <v>XTCHNB11L</v>
      </c>
      <c r="D6" s="7" t="s">
        <v>26</v>
      </c>
      <c r="E6" s="21" t="s">
        <v>169</v>
      </c>
      <c r="H6" s="18" t="s">
        <v>141</v>
      </c>
    </row>
    <row r="7" spans="1:8" x14ac:dyDescent="0.25">
      <c r="A7" s="9" t="s">
        <v>104</v>
      </c>
      <c r="B7" s="10" t="str">
        <f t="shared" si="0"/>
        <v>NB2LH</v>
      </c>
      <c r="C7" s="15" t="str">
        <f t="shared" si="1"/>
        <v>XTCHNB2LH</v>
      </c>
      <c r="D7" s="7" t="s">
        <v>18</v>
      </c>
      <c r="E7" s="21" t="s">
        <v>170</v>
      </c>
      <c r="H7" s="18" t="s">
        <v>141</v>
      </c>
    </row>
    <row r="8" spans="1:8" x14ac:dyDescent="0.25">
      <c r="A8" s="9" t="s">
        <v>105</v>
      </c>
      <c r="B8" s="10" t="str">
        <f t="shared" si="0"/>
        <v>NB4L</v>
      </c>
      <c r="C8" s="15" t="str">
        <f t="shared" si="1"/>
        <v>XTCHNB4L</v>
      </c>
      <c r="D8" s="7" t="s">
        <v>32</v>
      </c>
      <c r="E8" s="22" t="s">
        <v>171</v>
      </c>
      <c r="F8" s="24" t="s">
        <v>172</v>
      </c>
      <c r="H8" s="18" t="s">
        <v>141</v>
      </c>
    </row>
    <row r="9" spans="1:8" x14ac:dyDescent="0.25">
      <c r="A9" s="9" t="s">
        <v>106</v>
      </c>
      <c r="B9" s="10" t="str">
        <f t="shared" si="0"/>
        <v>NB5L</v>
      </c>
      <c r="C9" s="15" t="str">
        <f t="shared" si="1"/>
        <v>XTCHNB5L</v>
      </c>
      <c r="D9" s="7" t="s">
        <v>31</v>
      </c>
      <c r="E9" s="21" t="s">
        <v>173</v>
      </c>
      <c r="F9" s="24" t="s">
        <v>174</v>
      </c>
      <c r="H9" s="18" t="s">
        <v>141</v>
      </c>
    </row>
    <row r="10" spans="1:8" x14ac:dyDescent="0.25">
      <c r="A10" s="9" t="s">
        <v>107</v>
      </c>
      <c r="B10" s="10" t="str">
        <f t="shared" si="0"/>
        <v>NB6L</v>
      </c>
      <c r="C10" s="15" t="str">
        <f t="shared" si="1"/>
        <v>XTCHNB6L</v>
      </c>
      <c r="D10" s="7" t="s">
        <v>30</v>
      </c>
      <c r="E10" s="21" t="s">
        <v>175</v>
      </c>
      <c r="F10" s="24" t="s">
        <v>176</v>
      </c>
      <c r="H10" s="18" t="s">
        <v>141</v>
      </c>
    </row>
    <row r="11" spans="1:8" x14ac:dyDescent="0.25">
      <c r="A11" s="9" t="s">
        <v>108</v>
      </c>
      <c r="B11" s="10" t="str">
        <f t="shared" si="0"/>
        <v>NB7L</v>
      </c>
      <c r="C11" s="15" t="str">
        <f t="shared" si="1"/>
        <v>XTCHNB7L</v>
      </c>
      <c r="D11" s="7" t="s">
        <v>29</v>
      </c>
      <c r="E11" s="21" t="s">
        <v>177</v>
      </c>
      <c r="F11" s="24" t="s">
        <v>178</v>
      </c>
      <c r="H11" s="18" t="s">
        <v>141</v>
      </c>
    </row>
    <row r="12" spans="1:8" x14ac:dyDescent="0.25">
      <c r="A12" s="9" t="s">
        <v>109</v>
      </c>
      <c r="B12" s="10" t="str">
        <f t="shared" si="0"/>
        <v>NB8L</v>
      </c>
      <c r="C12" s="15" t="str">
        <f t="shared" si="1"/>
        <v>XTCHNB8L</v>
      </c>
      <c r="D12" s="7" t="s">
        <v>92</v>
      </c>
      <c r="E12" s="21" t="s">
        <v>180</v>
      </c>
      <c r="F12" s="24" t="s">
        <v>181</v>
      </c>
      <c r="H12" s="18" t="s">
        <v>141</v>
      </c>
    </row>
    <row r="13" spans="1:8" x14ac:dyDescent="0.25">
      <c r="A13" s="9" t="s">
        <v>110</v>
      </c>
      <c r="B13" s="10" t="str">
        <f t="shared" si="0"/>
        <v>NB9L</v>
      </c>
      <c r="C13" s="15" t="str">
        <f t="shared" si="1"/>
        <v>XTCHNB9L</v>
      </c>
      <c r="D13" s="7" t="s">
        <v>28</v>
      </c>
      <c r="E13" s="21" t="s">
        <v>182</v>
      </c>
      <c r="H13" s="18" t="s">
        <v>141</v>
      </c>
    </row>
    <row r="14" spans="1:8" x14ac:dyDescent="0.25">
      <c r="A14" s="9" t="s">
        <v>111</v>
      </c>
      <c r="B14" s="10" t="str">
        <f t="shared" si="0"/>
        <v>NP45</v>
      </c>
      <c r="C14" s="15" t="str">
        <f t="shared" si="1"/>
        <v>XTCHNP45</v>
      </c>
      <c r="D14" s="7" t="s">
        <v>25</v>
      </c>
      <c r="E14" s="21" t="s">
        <v>183</v>
      </c>
      <c r="H14" s="18" t="s">
        <v>141</v>
      </c>
    </row>
    <row r="15" spans="1:8" x14ac:dyDescent="0.25">
      <c r="A15" s="9" t="s">
        <v>112</v>
      </c>
      <c r="B15" s="10" t="str">
        <f t="shared" si="0"/>
        <v>NP48</v>
      </c>
      <c r="C15" s="15" t="str">
        <f t="shared" si="1"/>
        <v>XTCHNP48</v>
      </c>
      <c r="D15" s="7" t="s">
        <v>88</v>
      </c>
      <c r="E15" s="21" t="s">
        <v>184</v>
      </c>
      <c r="H15" s="18" t="s">
        <v>141</v>
      </c>
    </row>
    <row r="16" spans="1:8" x14ac:dyDescent="0.25">
      <c r="A16" s="9" t="s">
        <v>113</v>
      </c>
      <c r="B16" s="10" t="str">
        <f t="shared" si="0"/>
        <v>NP50</v>
      </c>
      <c r="C16" s="15" t="str">
        <f t="shared" si="1"/>
        <v>XTCHNP50</v>
      </c>
      <c r="D16" s="7" t="s">
        <v>24</v>
      </c>
      <c r="E16" s="21" t="s">
        <v>184</v>
      </c>
      <c r="H16" s="18" t="s">
        <v>141</v>
      </c>
    </row>
    <row r="17" spans="1:8" x14ac:dyDescent="0.25">
      <c r="A17" s="9" t="s">
        <v>114</v>
      </c>
      <c r="B17" s="10" t="str">
        <f t="shared" si="0"/>
        <v>NP85</v>
      </c>
      <c r="C17" s="15" t="str">
        <f t="shared" si="1"/>
        <v>XTCHNP85</v>
      </c>
      <c r="D17" s="7" t="s">
        <v>23</v>
      </c>
      <c r="E17" s="21" t="s">
        <v>185</v>
      </c>
      <c r="H17" s="18" t="s">
        <v>141</v>
      </c>
    </row>
    <row r="18" spans="1:8" x14ac:dyDescent="0.25">
      <c r="A18" s="9" t="s">
        <v>115</v>
      </c>
      <c r="B18" s="10" t="str">
        <f t="shared" si="0"/>
        <v>NP95</v>
      </c>
      <c r="C18" s="15" t="str">
        <f t="shared" si="1"/>
        <v>XTCHNP95</v>
      </c>
      <c r="D18" s="7" t="s">
        <v>22</v>
      </c>
      <c r="E18" s="21" t="s">
        <v>186</v>
      </c>
      <c r="F18" s="24" t="s">
        <v>187</v>
      </c>
      <c r="H18" s="18" t="s">
        <v>141</v>
      </c>
    </row>
    <row r="19" spans="1:8" x14ac:dyDescent="0.25">
      <c r="A19" s="9" t="s">
        <v>116</v>
      </c>
      <c r="B19" s="10" t="str">
        <f t="shared" si="0"/>
        <v>NPBG1</v>
      </c>
      <c r="C19" s="15" t="str">
        <f t="shared" si="1"/>
        <v>XTCHNPBG1</v>
      </c>
      <c r="D19" s="7" t="s">
        <v>2</v>
      </c>
      <c r="E19" s="21" t="s">
        <v>188</v>
      </c>
      <c r="F19" s="24" t="s">
        <v>189</v>
      </c>
      <c r="H19" s="18" t="s">
        <v>141</v>
      </c>
    </row>
    <row r="20" spans="1:8" x14ac:dyDescent="0.25">
      <c r="A20" s="9" t="s">
        <v>117</v>
      </c>
      <c r="B20" s="10" t="str">
        <f t="shared" si="0"/>
        <v>NPBN1</v>
      </c>
      <c r="C20" s="15" t="str">
        <f t="shared" si="1"/>
        <v>XTCHNPBN1</v>
      </c>
      <c r="D20" s="7" t="s">
        <v>20</v>
      </c>
      <c r="E20" s="21" t="s">
        <v>190</v>
      </c>
      <c r="F20" s="24" t="s">
        <v>191</v>
      </c>
      <c r="H20" s="18" t="s">
        <v>141</v>
      </c>
    </row>
    <row r="21" spans="1:8" x14ac:dyDescent="0.25">
      <c r="A21" s="9" t="s">
        <v>118</v>
      </c>
      <c r="B21" s="10" t="str">
        <f t="shared" si="0"/>
        <v>NPBX1</v>
      </c>
      <c r="C21" s="15" t="str">
        <f t="shared" si="1"/>
        <v>XTCHNPBX1</v>
      </c>
      <c r="D21" s="7" t="s">
        <v>19</v>
      </c>
      <c r="E21" s="21" t="s">
        <v>192</v>
      </c>
      <c r="F21" s="24" t="s">
        <v>193</v>
      </c>
      <c r="H21" s="18" t="s">
        <v>141</v>
      </c>
    </row>
    <row r="22" spans="1:8" x14ac:dyDescent="0.25">
      <c r="A22" s="9" t="s">
        <v>119</v>
      </c>
      <c r="B22" s="10" t="str">
        <f t="shared" si="0"/>
        <v>NPF975</v>
      </c>
      <c r="C22" s="15" t="str">
        <f t="shared" si="1"/>
        <v>XTCHNPF975</v>
      </c>
      <c r="D22" s="7" t="s">
        <v>0</v>
      </c>
      <c r="E22" s="21" t="s">
        <v>194</v>
      </c>
      <c r="H22" s="18" t="s">
        <v>141</v>
      </c>
    </row>
    <row r="23" spans="1:8" x14ac:dyDescent="0.25">
      <c r="A23" s="9" t="s">
        <v>120</v>
      </c>
      <c r="B23" s="10" t="str">
        <f t="shared" si="0"/>
        <v>NPFH50</v>
      </c>
      <c r="C23" s="15" t="str">
        <f t="shared" si="1"/>
        <v>XTCHNPFH50</v>
      </c>
      <c r="D23" s="7" t="s">
        <v>21</v>
      </c>
      <c r="E23" s="21" t="s">
        <v>194</v>
      </c>
      <c r="F23" s="24" t="s">
        <v>195</v>
      </c>
      <c r="H23" s="18" t="s">
        <v>141</v>
      </c>
    </row>
    <row r="24" spans="1:8" x14ac:dyDescent="0.25">
      <c r="A24" s="9" t="s">
        <v>121</v>
      </c>
      <c r="B24" s="10" t="str">
        <f t="shared" si="0"/>
        <v>NPFM500H</v>
      </c>
      <c r="C24" s="15" t="str">
        <f t="shared" si="1"/>
        <v>XTCHNPFM500H</v>
      </c>
      <c r="D24" s="7" t="s">
        <v>1</v>
      </c>
      <c r="E24" s="21" t="s">
        <v>196</v>
      </c>
      <c r="F24" s="24" t="s">
        <v>197</v>
      </c>
      <c r="H24" s="18" t="s">
        <v>141</v>
      </c>
    </row>
    <row r="25" spans="1:8" x14ac:dyDescent="0.25">
      <c r="A25" s="9" t="s">
        <v>122</v>
      </c>
      <c r="B25" s="10" t="str">
        <f t="shared" si="0"/>
        <v>NPFV100</v>
      </c>
      <c r="C25" s="15" t="str">
        <f t="shared" si="1"/>
        <v>XTCHNPFV100</v>
      </c>
      <c r="D25" s="7" t="s">
        <v>15</v>
      </c>
      <c r="E25" s="21" t="s">
        <v>198</v>
      </c>
      <c r="F25" s="24" t="s">
        <v>199</v>
      </c>
      <c r="H25" s="18" t="s">
        <v>141</v>
      </c>
    </row>
    <row r="26" spans="1:8" x14ac:dyDescent="0.25">
      <c r="A26" s="9" t="s">
        <v>123</v>
      </c>
      <c r="B26" s="10" t="str">
        <f t="shared" si="0"/>
        <v>NPFV50</v>
      </c>
      <c r="C26" s="15" t="str">
        <f t="shared" si="1"/>
        <v>XTCHNPFV50</v>
      </c>
      <c r="D26" s="7" t="s">
        <v>3</v>
      </c>
      <c r="E26" s="21" t="s">
        <v>200</v>
      </c>
      <c r="F26" s="24" t="s">
        <v>201</v>
      </c>
      <c r="H26" s="18" t="s">
        <v>141</v>
      </c>
    </row>
    <row r="27" spans="1:8" x14ac:dyDescent="0.25">
      <c r="A27" s="9" t="s">
        <v>124</v>
      </c>
      <c r="B27" s="10" t="str">
        <f t="shared" si="0"/>
        <v>NPFV70</v>
      </c>
      <c r="C27" s="15" t="str">
        <f t="shared" si="1"/>
        <v>XTCHNPFV70</v>
      </c>
      <c r="D27" s="7" t="s">
        <v>17</v>
      </c>
      <c r="E27" s="21" t="s">
        <v>198</v>
      </c>
      <c r="F27" s="24" t="s">
        <v>202</v>
      </c>
      <c r="H27" s="18" t="s">
        <v>141</v>
      </c>
    </row>
    <row r="28" spans="1:8" x14ac:dyDescent="0.25">
      <c r="A28" s="9" t="s">
        <v>125</v>
      </c>
      <c r="B28" s="10" t="str">
        <f t="shared" si="0"/>
        <v>NPFW50</v>
      </c>
      <c r="C28" s="15" t="str">
        <f t="shared" si="1"/>
        <v>XTCHNPFW50</v>
      </c>
      <c r="D28" s="7" t="s">
        <v>16</v>
      </c>
      <c r="E28" s="21" t="s">
        <v>203</v>
      </c>
      <c r="H28" s="18" t="s">
        <v>141</v>
      </c>
    </row>
    <row r="29" spans="1:8" x14ac:dyDescent="0.25">
      <c r="A29" s="9" t="s">
        <v>126</v>
      </c>
      <c r="B29" s="10" t="str">
        <f t="shared" si="0"/>
        <v>NPW126</v>
      </c>
      <c r="C29" s="15" t="str">
        <f t="shared" si="1"/>
        <v>XTCHNPW126</v>
      </c>
      <c r="D29" s="7" t="s">
        <v>14</v>
      </c>
      <c r="E29" s="21" t="s">
        <v>204</v>
      </c>
      <c r="F29" s="24" t="s">
        <v>205</v>
      </c>
      <c r="H29" s="18" t="s">
        <v>141</v>
      </c>
    </row>
    <row r="30" spans="1:8" x14ac:dyDescent="0.25">
      <c r="A30" s="9" t="s">
        <v>127</v>
      </c>
      <c r="B30" s="10" t="str">
        <f t="shared" si="0"/>
        <v>SLB10A</v>
      </c>
      <c r="C30" s="15" t="str">
        <f t="shared" si="1"/>
        <v>XTCHSLB10A</v>
      </c>
      <c r="D30" s="7" t="s">
        <v>33</v>
      </c>
      <c r="E30" s="21" t="s">
        <v>206</v>
      </c>
      <c r="F30" s="24" t="s">
        <v>207</v>
      </c>
      <c r="H30" s="18" t="s">
        <v>141</v>
      </c>
    </row>
    <row r="31" spans="1:8" x14ac:dyDescent="0.25">
      <c r="A31" s="9" t="s">
        <v>128</v>
      </c>
      <c r="B31" s="10" t="str">
        <f t="shared" si="0"/>
        <v>VBG260</v>
      </c>
      <c r="C31" s="15" t="str">
        <f t="shared" si="1"/>
        <v>XTCHVBG260</v>
      </c>
      <c r="D31" s="7" t="s">
        <v>13</v>
      </c>
      <c r="E31" s="21" t="s">
        <v>208</v>
      </c>
      <c r="F31" s="24" t="s">
        <v>209</v>
      </c>
      <c r="H31" s="18" t="s">
        <v>141</v>
      </c>
    </row>
    <row r="32" spans="1:8" x14ac:dyDescent="0.25">
      <c r="A32" s="9" t="s">
        <v>129</v>
      </c>
      <c r="B32" s="10" t="str">
        <f t="shared" si="0"/>
        <v>VBG6</v>
      </c>
      <c r="C32" s="15" t="str">
        <f t="shared" si="1"/>
        <v>XTCHVBG6</v>
      </c>
      <c r="D32" s="7" t="s">
        <v>12</v>
      </c>
      <c r="E32" s="21" t="s">
        <v>210</v>
      </c>
      <c r="F32" s="24" t="s">
        <v>211</v>
      </c>
      <c r="H32" s="18" t="s">
        <v>141</v>
      </c>
    </row>
    <row r="33" spans="1:8" x14ac:dyDescent="0.25">
      <c r="A33" s="9" t="s">
        <v>130</v>
      </c>
      <c r="B33" s="10" t="str">
        <f t="shared" si="0"/>
        <v>VBK180</v>
      </c>
      <c r="C33" s="15" t="str">
        <f t="shared" si="1"/>
        <v>XTCHVBK180</v>
      </c>
      <c r="D33" s="7" t="s">
        <v>10</v>
      </c>
      <c r="E33" s="21" t="s">
        <v>212</v>
      </c>
      <c r="F33" s="24" t="s">
        <v>213</v>
      </c>
      <c r="H33" s="18" t="s">
        <v>141</v>
      </c>
    </row>
    <row r="34" spans="1:8" x14ac:dyDescent="0.25">
      <c r="A34" s="9" t="s">
        <v>131</v>
      </c>
      <c r="B34" s="10" t="str">
        <f t="shared" si="0"/>
        <v>VBK360</v>
      </c>
      <c r="C34" s="15" t="str">
        <f t="shared" si="1"/>
        <v>XTCHVBK360</v>
      </c>
      <c r="D34" s="7" t="s">
        <v>11</v>
      </c>
      <c r="E34" s="21" t="s">
        <v>212</v>
      </c>
      <c r="F34" s="24" t="s">
        <v>213</v>
      </c>
      <c r="H34" s="18" t="s">
        <v>141</v>
      </c>
    </row>
    <row r="35" spans="1:8" x14ac:dyDescent="0.25">
      <c r="A35" s="9" t="s">
        <v>132</v>
      </c>
      <c r="B35" s="10" t="str">
        <f t="shared" si="0"/>
        <v>VBN130</v>
      </c>
      <c r="C35" s="15" t="str">
        <f t="shared" si="1"/>
        <v>XTCHVBN130</v>
      </c>
      <c r="D35" s="7" t="s">
        <v>9</v>
      </c>
      <c r="E35" s="21" t="s">
        <v>214</v>
      </c>
      <c r="F35" s="24" t="s">
        <v>215</v>
      </c>
      <c r="H35" s="18" t="s">
        <v>141</v>
      </c>
    </row>
    <row r="36" spans="1:8" x14ac:dyDescent="0.25">
      <c r="A36" s="9" t="s">
        <v>133</v>
      </c>
      <c r="B36" s="10" t="str">
        <f t="shared" si="0"/>
        <v>VBN260</v>
      </c>
      <c r="C36" s="15" t="str">
        <f t="shared" si="1"/>
        <v>XTCHVBN260</v>
      </c>
      <c r="D36" s="7" t="s">
        <v>8</v>
      </c>
      <c r="E36" s="21" t="s">
        <v>214</v>
      </c>
      <c r="F36" s="24" t="s">
        <v>216</v>
      </c>
      <c r="H36" s="18" t="s">
        <v>141</v>
      </c>
    </row>
    <row r="37" spans="1:8" x14ac:dyDescent="0.25">
      <c r="A37" s="9" t="s">
        <v>134</v>
      </c>
      <c r="B37" s="10" t="str">
        <f t="shared" si="0"/>
        <v>VF815</v>
      </c>
      <c r="C37" s="15" t="str">
        <f t="shared" si="1"/>
        <v>XTCHVF815</v>
      </c>
      <c r="D37" s="7" t="s">
        <v>7</v>
      </c>
      <c r="E37" s="21" t="s">
        <v>217</v>
      </c>
      <c r="F37" s="24" t="s">
        <v>218</v>
      </c>
      <c r="H37" s="18" t="s">
        <v>141</v>
      </c>
    </row>
    <row r="38" spans="1:8" x14ac:dyDescent="0.25">
      <c r="A38" s="9" t="s">
        <v>135</v>
      </c>
      <c r="B38" s="10" t="str">
        <f t="shared" si="0"/>
        <v>VF823</v>
      </c>
      <c r="C38" s="15" t="str">
        <f t="shared" si="1"/>
        <v>XTCHVF823</v>
      </c>
      <c r="D38" s="7" t="s">
        <v>6</v>
      </c>
      <c r="E38" s="21" t="s">
        <v>219</v>
      </c>
      <c r="F38" s="24" t="s">
        <v>220</v>
      </c>
      <c r="H38" s="18" t="s">
        <v>141</v>
      </c>
    </row>
    <row r="39" spans="1:8" x14ac:dyDescent="0.25">
      <c r="A39" s="9" t="s">
        <v>136</v>
      </c>
      <c r="B39" s="10" t="str">
        <f t="shared" si="0"/>
        <v>VG121</v>
      </c>
      <c r="C39" s="15" t="str">
        <f t="shared" si="1"/>
        <v>XTCHVG121</v>
      </c>
      <c r="D39" s="7" t="s">
        <v>5</v>
      </c>
      <c r="E39" s="21" t="s">
        <v>221</v>
      </c>
      <c r="F39" s="24" t="s">
        <v>222</v>
      </c>
      <c r="H39" s="18" t="s">
        <v>141</v>
      </c>
    </row>
    <row r="40" spans="1:8" x14ac:dyDescent="0.25">
      <c r="A40" s="9" t="s">
        <v>137</v>
      </c>
      <c r="B40" s="10" t="str">
        <f t="shared" si="0"/>
        <v>VG138</v>
      </c>
      <c r="C40" s="15" t="str">
        <f t="shared" si="1"/>
        <v>XTCHVG138</v>
      </c>
      <c r="D40" s="7" t="s">
        <v>4</v>
      </c>
      <c r="E40" s="21" t="s">
        <v>223</v>
      </c>
      <c r="F40" s="24" t="s">
        <v>224</v>
      </c>
      <c r="H40" s="18" t="s">
        <v>141</v>
      </c>
    </row>
    <row r="41" spans="1:8" x14ac:dyDescent="0.25">
      <c r="A41" s="9" t="s">
        <v>99</v>
      </c>
      <c r="B41" s="10" t="str">
        <f t="shared" si="0"/>
        <v>BCF10</v>
      </c>
      <c r="C41" s="15" t="str">
        <f t="shared" si="1"/>
        <v>XTCHBCF10</v>
      </c>
      <c r="D41" s="7" t="s">
        <v>90</v>
      </c>
      <c r="E41" s="21" t="s">
        <v>225</v>
      </c>
      <c r="F41" s="24" t="s">
        <v>226</v>
      </c>
      <c r="H41" s="18" t="s">
        <v>141</v>
      </c>
    </row>
    <row r="42" spans="1:8" x14ac:dyDescent="0.25">
      <c r="A42" s="9" t="s">
        <v>100</v>
      </c>
      <c r="B42" s="10" t="str">
        <f t="shared" si="0"/>
        <v>BP1130</v>
      </c>
      <c r="C42" s="15" t="str">
        <f t="shared" si="1"/>
        <v>XTCHBP1130</v>
      </c>
      <c r="D42" s="7" t="s">
        <v>91</v>
      </c>
      <c r="E42" s="21" t="s">
        <v>227</v>
      </c>
      <c r="F42" s="24" t="s">
        <v>228</v>
      </c>
      <c r="H42" s="18" t="s">
        <v>141</v>
      </c>
    </row>
    <row r="43" spans="1:8" x14ac:dyDescent="0.25">
      <c r="A43" s="9" t="s">
        <v>101</v>
      </c>
      <c r="B43" s="10" t="str">
        <f t="shared" si="0"/>
        <v>ENEL23</v>
      </c>
      <c r="C43" s="15" t="str">
        <f t="shared" si="1"/>
        <v>XTCHENEL23</v>
      </c>
      <c r="D43" s="7" t="s">
        <v>89</v>
      </c>
      <c r="E43" s="21" t="s">
        <v>229</v>
      </c>
      <c r="F43" s="24" t="s">
        <v>230</v>
      </c>
      <c r="H43" s="18" t="s">
        <v>141</v>
      </c>
    </row>
    <row r="44" spans="1:8" x14ac:dyDescent="0.25">
      <c r="A44" s="9" t="s">
        <v>102</v>
      </c>
      <c r="B44" s="10" t="str">
        <f t="shared" si="0"/>
        <v>NB10L</v>
      </c>
      <c r="C44" s="15" t="str">
        <f t="shared" si="1"/>
        <v>XTCHNB10L</v>
      </c>
      <c r="D44" s="7" t="s">
        <v>27</v>
      </c>
      <c r="E44" s="21" t="s">
        <v>231</v>
      </c>
      <c r="F44" s="24" t="s">
        <v>232</v>
      </c>
      <c r="H44" s="18" t="s">
        <v>141</v>
      </c>
    </row>
    <row r="45" spans="1:8" x14ac:dyDescent="0.25">
      <c r="A45" s="9" t="s">
        <v>103</v>
      </c>
      <c r="B45" s="10" t="str">
        <f t="shared" si="0"/>
        <v>NB11L</v>
      </c>
      <c r="C45" s="15" t="str">
        <f t="shared" si="1"/>
        <v>XTCHNB11L</v>
      </c>
      <c r="D45" s="7" t="s">
        <v>26</v>
      </c>
      <c r="E45" s="21" t="s">
        <v>234</v>
      </c>
      <c r="F45" s="24" t="s">
        <v>235</v>
      </c>
      <c r="H45" s="18" t="s">
        <v>141</v>
      </c>
    </row>
    <row r="46" spans="1:8" x14ac:dyDescent="0.25">
      <c r="A46" s="9" t="s">
        <v>104</v>
      </c>
      <c r="B46" s="10" t="str">
        <f t="shared" si="0"/>
        <v>NB2LH</v>
      </c>
      <c r="C46" s="15" t="str">
        <f t="shared" si="1"/>
        <v>XTCHNB2LH</v>
      </c>
      <c r="D46" s="7" t="s">
        <v>18</v>
      </c>
      <c r="E46" s="21" t="s">
        <v>236</v>
      </c>
      <c r="F46" s="24" t="s">
        <v>237</v>
      </c>
      <c r="H46" s="18" t="s">
        <v>141</v>
      </c>
    </row>
    <row r="47" spans="1:8" x14ac:dyDescent="0.25">
      <c r="A47" s="9" t="s">
        <v>105</v>
      </c>
      <c r="B47" s="10" t="str">
        <f t="shared" si="0"/>
        <v>NB4L</v>
      </c>
      <c r="C47" s="15" t="str">
        <f t="shared" si="1"/>
        <v>XTCHNB4L</v>
      </c>
      <c r="D47" s="7" t="s">
        <v>32</v>
      </c>
      <c r="E47" s="21" t="s">
        <v>171</v>
      </c>
      <c r="F47" s="24" t="s">
        <v>238</v>
      </c>
      <c r="H47" s="18" t="s">
        <v>141</v>
      </c>
    </row>
    <row r="48" spans="1:8" x14ac:dyDescent="0.25">
      <c r="A48" s="9" t="s">
        <v>106</v>
      </c>
      <c r="B48" s="10" t="str">
        <f t="shared" si="0"/>
        <v>NB5L</v>
      </c>
      <c r="C48" s="15" t="str">
        <f t="shared" si="1"/>
        <v>XTCHNB5L</v>
      </c>
      <c r="D48" s="7" t="s">
        <v>31</v>
      </c>
      <c r="E48" s="21" t="s">
        <v>239</v>
      </c>
      <c r="F48" s="24" t="s">
        <v>240</v>
      </c>
      <c r="H48" s="18" t="s">
        <v>141</v>
      </c>
    </row>
    <row r="49" spans="1:8" x14ac:dyDescent="0.25">
      <c r="A49" s="9" t="s">
        <v>107</v>
      </c>
      <c r="B49" s="10" t="str">
        <f t="shared" si="0"/>
        <v>NB6L</v>
      </c>
      <c r="C49" s="15" t="str">
        <f t="shared" si="1"/>
        <v>XTCHNB6L</v>
      </c>
      <c r="D49" s="7" t="s">
        <v>30</v>
      </c>
      <c r="E49" s="21" t="s">
        <v>241</v>
      </c>
      <c r="F49" s="24" t="s">
        <v>242</v>
      </c>
      <c r="H49" s="18" t="s">
        <v>141</v>
      </c>
    </row>
    <row r="50" spans="1:8" x14ac:dyDescent="0.25">
      <c r="A50" s="9" t="s">
        <v>108</v>
      </c>
      <c r="B50" s="10" t="str">
        <f t="shared" si="0"/>
        <v>NB7L</v>
      </c>
      <c r="C50" s="15" t="str">
        <f t="shared" si="1"/>
        <v>XTCHNB7L</v>
      </c>
      <c r="D50" s="7" t="s">
        <v>29</v>
      </c>
      <c r="E50" s="21" t="s">
        <v>243</v>
      </c>
      <c r="F50" s="24" t="s">
        <v>244</v>
      </c>
      <c r="H50" s="18" t="s">
        <v>141</v>
      </c>
    </row>
    <row r="51" spans="1:8" x14ac:dyDescent="0.25">
      <c r="A51" s="9" t="s">
        <v>109</v>
      </c>
      <c r="B51" s="10" t="str">
        <f t="shared" si="0"/>
        <v>NB8L</v>
      </c>
      <c r="C51" s="15" t="str">
        <f t="shared" si="1"/>
        <v>XTCHNB8L</v>
      </c>
      <c r="D51" s="7" t="s">
        <v>92</v>
      </c>
      <c r="E51" s="21" t="s">
        <v>245</v>
      </c>
      <c r="F51" s="24" t="s">
        <v>246</v>
      </c>
      <c r="H51" s="18" t="s">
        <v>141</v>
      </c>
    </row>
    <row r="52" spans="1:8" x14ac:dyDescent="0.25">
      <c r="A52" s="9" t="s">
        <v>110</v>
      </c>
      <c r="B52" s="10" t="str">
        <f t="shared" si="0"/>
        <v>NB9L</v>
      </c>
      <c r="C52" s="15" t="str">
        <f t="shared" si="1"/>
        <v>XTCHNB9L</v>
      </c>
      <c r="D52" s="7" t="s">
        <v>28</v>
      </c>
      <c r="H52" s="18" t="s">
        <v>141</v>
      </c>
    </row>
    <row r="53" spans="1:8" x14ac:dyDescent="0.25">
      <c r="A53" s="9" t="s">
        <v>111</v>
      </c>
      <c r="B53" s="10" t="str">
        <f t="shared" si="0"/>
        <v>NP45</v>
      </c>
      <c r="C53" s="15" t="str">
        <f t="shared" si="1"/>
        <v>XTCHNP45</v>
      </c>
      <c r="D53" s="7" t="s">
        <v>25</v>
      </c>
      <c r="H53" s="18" t="s">
        <v>141</v>
      </c>
    </row>
    <row r="54" spans="1:8" x14ac:dyDescent="0.25">
      <c r="A54" s="9" t="s">
        <v>112</v>
      </c>
      <c r="B54" s="10" t="str">
        <f t="shared" si="0"/>
        <v>NP48</v>
      </c>
      <c r="C54" s="15" t="str">
        <f t="shared" si="1"/>
        <v>XTCHNP48</v>
      </c>
      <c r="D54" s="7" t="s">
        <v>88</v>
      </c>
      <c r="H54" s="18" t="s">
        <v>141</v>
      </c>
    </row>
    <row r="55" spans="1:8" x14ac:dyDescent="0.25">
      <c r="A55" s="9" t="s">
        <v>113</v>
      </c>
      <c r="B55" s="10" t="str">
        <f t="shared" si="0"/>
        <v>NP50</v>
      </c>
      <c r="C55" s="15" t="str">
        <f t="shared" si="1"/>
        <v>XTCHNP50</v>
      </c>
      <c r="D55" s="7" t="s">
        <v>24</v>
      </c>
      <c r="H55" s="18" t="s">
        <v>141</v>
      </c>
    </row>
    <row r="56" spans="1:8" x14ac:dyDescent="0.25">
      <c r="A56" s="9" t="s">
        <v>114</v>
      </c>
      <c r="B56" s="10" t="str">
        <f t="shared" si="0"/>
        <v>NP85</v>
      </c>
      <c r="C56" s="15" t="str">
        <f t="shared" si="1"/>
        <v>XTCHNP85</v>
      </c>
      <c r="D56" s="7" t="s">
        <v>23</v>
      </c>
      <c r="H56" s="18" t="s">
        <v>141</v>
      </c>
    </row>
    <row r="57" spans="1:8" x14ac:dyDescent="0.25">
      <c r="A57" s="9" t="s">
        <v>115</v>
      </c>
      <c r="B57" s="10" t="str">
        <f t="shared" si="0"/>
        <v>NP95</v>
      </c>
      <c r="C57" s="15" t="str">
        <f t="shared" si="1"/>
        <v>XTCHNP95</v>
      </c>
      <c r="D57" s="7" t="s">
        <v>22</v>
      </c>
      <c r="H57" s="18" t="s">
        <v>141</v>
      </c>
    </row>
    <row r="58" spans="1:8" x14ac:dyDescent="0.25">
      <c r="A58" s="9" t="s">
        <v>116</v>
      </c>
      <c r="B58" s="10" t="str">
        <f t="shared" si="0"/>
        <v>NPBG1</v>
      </c>
      <c r="C58" s="15" t="str">
        <f t="shared" si="1"/>
        <v>XTCHNPBG1</v>
      </c>
      <c r="D58" s="7" t="s">
        <v>2</v>
      </c>
      <c r="H58" s="18" t="s">
        <v>141</v>
      </c>
    </row>
    <row r="59" spans="1:8" x14ac:dyDescent="0.25">
      <c r="A59" s="9" t="s">
        <v>117</v>
      </c>
      <c r="B59" s="10" t="str">
        <f t="shared" si="0"/>
        <v>NPBN1</v>
      </c>
      <c r="C59" s="15" t="str">
        <f t="shared" si="1"/>
        <v>XTCHNPBN1</v>
      </c>
      <c r="D59" s="7" t="s">
        <v>20</v>
      </c>
      <c r="H59" s="18" t="s">
        <v>141</v>
      </c>
    </row>
    <row r="60" spans="1:8" x14ac:dyDescent="0.25">
      <c r="A60" s="9" t="s">
        <v>118</v>
      </c>
      <c r="B60" s="10" t="str">
        <f t="shared" si="0"/>
        <v>NPBX1</v>
      </c>
      <c r="C60" s="15" t="str">
        <f t="shared" si="1"/>
        <v>XTCHNPBX1</v>
      </c>
      <c r="D60" s="7" t="s">
        <v>19</v>
      </c>
      <c r="H60" s="18" t="s">
        <v>141</v>
      </c>
    </row>
    <row r="61" spans="1:8" x14ac:dyDescent="0.25">
      <c r="A61" s="9" t="s">
        <v>119</v>
      </c>
      <c r="B61" s="10" t="str">
        <f t="shared" si="0"/>
        <v>NPF975</v>
      </c>
      <c r="C61" s="15" t="str">
        <f t="shared" si="1"/>
        <v>XTCHNPF975</v>
      </c>
      <c r="D61" s="7" t="s">
        <v>0</v>
      </c>
      <c r="H61" s="18" t="s">
        <v>141</v>
      </c>
    </row>
    <row r="62" spans="1:8" x14ac:dyDescent="0.25">
      <c r="A62" s="9" t="s">
        <v>120</v>
      </c>
      <c r="B62" s="10" t="str">
        <f t="shared" si="0"/>
        <v>NPFH50</v>
      </c>
      <c r="C62" s="15" t="str">
        <f t="shared" si="1"/>
        <v>XTCHNPFH50</v>
      </c>
      <c r="D62" s="7" t="s">
        <v>21</v>
      </c>
      <c r="H62" s="18" t="s">
        <v>141</v>
      </c>
    </row>
    <row r="63" spans="1:8" x14ac:dyDescent="0.25">
      <c r="A63" s="9" t="s">
        <v>121</v>
      </c>
      <c r="B63" s="10" t="str">
        <f t="shared" si="0"/>
        <v>NPFM500H</v>
      </c>
      <c r="C63" s="15" t="str">
        <f t="shared" si="1"/>
        <v>XTCHNPFM500H</v>
      </c>
      <c r="D63" s="7" t="s">
        <v>1</v>
      </c>
      <c r="H63" s="18" t="s">
        <v>141</v>
      </c>
    </row>
    <row r="64" spans="1:8" x14ac:dyDescent="0.25">
      <c r="A64" s="9" t="s">
        <v>122</v>
      </c>
      <c r="B64" s="10" t="str">
        <f t="shared" si="0"/>
        <v>NPFV100</v>
      </c>
      <c r="C64" s="15" t="str">
        <f t="shared" si="1"/>
        <v>XTCHNPFV100</v>
      </c>
      <c r="D64" s="7" t="s">
        <v>15</v>
      </c>
      <c r="H64" s="18" t="s">
        <v>141</v>
      </c>
    </row>
    <row r="65" spans="1:8" x14ac:dyDescent="0.25">
      <c r="A65" s="9" t="s">
        <v>123</v>
      </c>
      <c r="B65" s="10" t="str">
        <f t="shared" si="0"/>
        <v>NPFV50</v>
      </c>
      <c r="C65" s="15" t="str">
        <f t="shared" si="1"/>
        <v>XTCHNPFV50</v>
      </c>
      <c r="D65" s="7" t="s">
        <v>3</v>
      </c>
      <c r="H65" s="18" t="s">
        <v>141</v>
      </c>
    </row>
    <row r="66" spans="1:8" x14ac:dyDescent="0.25">
      <c r="A66" s="9" t="s">
        <v>124</v>
      </c>
      <c r="B66" s="10" t="str">
        <f t="shared" si="0"/>
        <v>NPFV70</v>
      </c>
      <c r="C66" s="15" t="str">
        <f t="shared" si="1"/>
        <v>XTCHNPFV70</v>
      </c>
      <c r="D66" s="7" t="s">
        <v>17</v>
      </c>
      <c r="H66" s="18" t="s">
        <v>141</v>
      </c>
    </row>
    <row r="67" spans="1:8" x14ac:dyDescent="0.25">
      <c r="A67" s="9" t="s">
        <v>125</v>
      </c>
      <c r="B67" s="10" t="str">
        <f t="shared" ref="B67:B93" si="2">RIGHT(A67, LEN(A67)-2)</f>
        <v>NPFW50</v>
      </c>
      <c r="C67" s="15" t="str">
        <f t="shared" ref="C67:C93" si="3">"XTCH"&amp;B67</f>
        <v>XTCHNPFW50</v>
      </c>
      <c r="D67" s="7" t="s">
        <v>16</v>
      </c>
      <c r="H67" s="18" t="s">
        <v>141</v>
      </c>
    </row>
    <row r="68" spans="1:8" x14ac:dyDescent="0.25">
      <c r="A68" s="9" t="s">
        <v>126</v>
      </c>
      <c r="B68" s="10" t="str">
        <f t="shared" si="2"/>
        <v>NPW126</v>
      </c>
      <c r="C68" s="15" t="str">
        <f t="shared" si="3"/>
        <v>XTCHNPW126</v>
      </c>
      <c r="D68" s="7" t="s">
        <v>14</v>
      </c>
      <c r="H68" s="18" t="s">
        <v>141</v>
      </c>
    </row>
    <row r="69" spans="1:8" x14ac:dyDescent="0.25">
      <c r="A69" s="9" t="s">
        <v>127</v>
      </c>
      <c r="B69" s="10" t="str">
        <f t="shared" si="2"/>
        <v>SLB10A</v>
      </c>
      <c r="C69" s="15" t="str">
        <f t="shared" si="3"/>
        <v>XTCHSLB10A</v>
      </c>
      <c r="D69" s="7" t="s">
        <v>33</v>
      </c>
      <c r="H69" s="18" t="s">
        <v>141</v>
      </c>
    </row>
    <row r="70" spans="1:8" x14ac:dyDescent="0.25">
      <c r="A70" s="9" t="s">
        <v>128</v>
      </c>
      <c r="B70" s="10" t="str">
        <f t="shared" si="2"/>
        <v>VBG260</v>
      </c>
      <c r="C70" s="15" t="str">
        <f t="shared" si="3"/>
        <v>XTCHVBG260</v>
      </c>
      <c r="D70" s="7" t="s">
        <v>13</v>
      </c>
      <c r="H70" s="18" t="s">
        <v>141</v>
      </c>
    </row>
    <row r="71" spans="1:8" x14ac:dyDescent="0.25">
      <c r="A71" s="9" t="s">
        <v>129</v>
      </c>
      <c r="B71" s="10" t="str">
        <f t="shared" si="2"/>
        <v>VBG6</v>
      </c>
      <c r="C71" s="15" t="str">
        <f t="shared" si="3"/>
        <v>XTCHVBG6</v>
      </c>
      <c r="D71" s="7" t="s">
        <v>12</v>
      </c>
      <c r="H71" s="18" t="s">
        <v>141</v>
      </c>
    </row>
    <row r="72" spans="1:8" x14ac:dyDescent="0.25">
      <c r="A72" s="9" t="s">
        <v>130</v>
      </c>
      <c r="B72" s="10" t="str">
        <f t="shared" si="2"/>
        <v>VBK180</v>
      </c>
      <c r="C72" s="15" t="str">
        <f t="shared" si="3"/>
        <v>XTCHVBK180</v>
      </c>
      <c r="D72" s="7" t="s">
        <v>10</v>
      </c>
      <c r="H72" s="18" t="s">
        <v>141</v>
      </c>
    </row>
    <row r="73" spans="1:8" x14ac:dyDescent="0.25">
      <c r="A73" s="9" t="s">
        <v>131</v>
      </c>
      <c r="B73" s="10" t="str">
        <f t="shared" si="2"/>
        <v>VBK360</v>
      </c>
      <c r="C73" s="15" t="str">
        <f t="shared" si="3"/>
        <v>XTCHVBK360</v>
      </c>
      <c r="D73" s="7" t="s">
        <v>11</v>
      </c>
      <c r="H73" s="18" t="s">
        <v>141</v>
      </c>
    </row>
    <row r="74" spans="1:8" x14ac:dyDescent="0.25">
      <c r="A74" s="9" t="s">
        <v>132</v>
      </c>
      <c r="B74" s="10" t="str">
        <f t="shared" si="2"/>
        <v>VBN130</v>
      </c>
      <c r="C74" s="15" t="str">
        <f t="shared" si="3"/>
        <v>XTCHVBN130</v>
      </c>
      <c r="D74" s="7" t="s">
        <v>9</v>
      </c>
      <c r="H74" s="18" t="s">
        <v>141</v>
      </c>
    </row>
    <row r="75" spans="1:8" x14ac:dyDescent="0.25">
      <c r="A75" s="9" t="s">
        <v>133</v>
      </c>
      <c r="B75" s="10" t="str">
        <f t="shared" si="2"/>
        <v>VBN260</v>
      </c>
      <c r="C75" s="15" t="str">
        <f t="shared" si="3"/>
        <v>XTCHVBN260</v>
      </c>
      <c r="D75" s="7" t="s">
        <v>8</v>
      </c>
      <c r="H75" s="18" t="s">
        <v>141</v>
      </c>
    </row>
    <row r="76" spans="1:8" x14ac:dyDescent="0.25">
      <c r="A76" s="9" t="s">
        <v>134</v>
      </c>
      <c r="B76" s="10" t="str">
        <f t="shared" si="2"/>
        <v>VF815</v>
      </c>
      <c r="C76" s="15" t="str">
        <f t="shared" si="3"/>
        <v>XTCHVF815</v>
      </c>
      <c r="D76" s="7" t="s">
        <v>7</v>
      </c>
      <c r="H76" s="18" t="s">
        <v>141</v>
      </c>
    </row>
    <row r="77" spans="1:8" x14ac:dyDescent="0.25">
      <c r="A77" s="9" t="s">
        <v>135</v>
      </c>
      <c r="B77" s="10" t="str">
        <f t="shared" si="2"/>
        <v>VF823</v>
      </c>
      <c r="C77" s="15" t="str">
        <f t="shared" si="3"/>
        <v>XTCHVF823</v>
      </c>
      <c r="D77" s="7" t="s">
        <v>6</v>
      </c>
      <c r="H77" s="18" t="s">
        <v>141</v>
      </c>
    </row>
    <row r="78" spans="1:8" x14ac:dyDescent="0.25">
      <c r="A78" s="9" t="s">
        <v>136</v>
      </c>
      <c r="B78" s="10" t="str">
        <f t="shared" si="2"/>
        <v>VG121</v>
      </c>
      <c r="C78" s="15" t="str">
        <f t="shared" si="3"/>
        <v>XTCHVG121</v>
      </c>
      <c r="D78" s="7" t="s">
        <v>5</v>
      </c>
      <c r="H78" s="18" t="s">
        <v>141</v>
      </c>
    </row>
    <row r="79" spans="1:8" x14ac:dyDescent="0.25">
      <c r="A79" s="9" t="s">
        <v>137</v>
      </c>
      <c r="B79" s="10" t="str">
        <f t="shared" si="2"/>
        <v>VG138</v>
      </c>
      <c r="C79" s="15" t="str">
        <f t="shared" si="3"/>
        <v>XTCHVG138</v>
      </c>
      <c r="D79" s="7" t="s">
        <v>4</v>
      </c>
      <c r="H79" s="18" t="s">
        <v>141</v>
      </c>
    </row>
    <row r="80" spans="1:8" x14ac:dyDescent="0.25">
      <c r="A80" s="9" t="s">
        <v>66</v>
      </c>
      <c r="B80" s="10" t="str">
        <f t="shared" si="2"/>
        <v>ENEL8</v>
      </c>
      <c r="C80" s="15" t="str">
        <f t="shared" si="3"/>
        <v>XTCHENEL8</v>
      </c>
      <c r="D80" s="7" t="s">
        <v>143</v>
      </c>
      <c r="H80" s="18" t="s">
        <v>141</v>
      </c>
    </row>
    <row r="81" spans="1:8" x14ac:dyDescent="0.25">
      <c r="A81" s="9" t="s">
        <v>96</v>
      </c>
      <c r="B81" s="10" t="str">
        <f t="shared" si="2"/>
        <v>ENEL9</v>
      </c>
      <c r="C81" s="15" t="str">
        <f t="shared" si="3"/>
        <v>XTCHENEL9</v>
      </c>
      <c r="D81" s="7" t="s">
        <v>144</v>
      </c>
      <c r="H81" s="18" t="s">
        <v>141</v>
      </c>
    </row>
    <row r="82" spans="1:8" x14ac:dyDescent="0.25">
      <c r="A82" s="9" t="s">
        <v>73</v>
      </c>
      <c r="B82" s="10" t="str">
        <f t="shared" si="2"/>
        <v>GPH3</v>
      </c>
      <c r="C82" s="15" t="str">
        <f t="shared" si="3"/>
        <v>XTCHGPH3</v>
      </c>
      <c r="D82" s="7" t="s">
        <v>145</v>
      </c>
      <c r="H82" s="18" t="s">
        <v>141</v>
      </c>
    </row>
    <row r="83" spans="1:8" x14ac:dyDescent="0.25">
      <c r="A83" s="9" t="s">
        <v>79</v>
      </c>
      <c r="B83" s="10" t="str">
        <f t="shared" si="2"/>
        <v>LI109</v>
      </c>
      <c r="C83" s="15" t="str">
        <f t="shared" si="3"/>
        <v>XTCHLI109</v>
      </c>
      <c r="D83" s="7" t="s">
        <v>146</v>
      </c>
      <c r="H83" s="18" t="s">
        <v>141</v>
      </c>
    </row>
    <row r="84" spans="1:8" x14ac:dyDescent="0.25">
      <c r="A84" s="9" t="s">
        <v>74</v>
      </c>
      <c r="B84" s="10" t="str">
        <f t="shared" si="2"/>
        <v>LI42B</v>
      </c>
      <c r="C84" s="15" t="str">
        <f t="shared" si="3"/>
        <v>XTCHLI42B</v>
      </c>
      <c r="D84" s="7" t="s">
        <v>147</v>
      </c>
      <c r="H84" s="18" t="s">
        <v>141</v>
      </c>
    </row>
    <row r="85" spans="1:8" x14ac:dyDescent="0.25">
      <c r="A85" s="9" t="s">
        <v>75</v>
      </c>
      <c r="B85" s="10" t="str">
        <f t="shared" si="2"/>
        <v>LI50B</v>
      </c>
      <c r="C85" s="15" t="str">
        <f t="shared" si="3"/>
        <v>XTCHLI50B</v>
      </c>
      <c r="D85" s="7" t="s">
        <v>148</v>
      </c>
      <c r="H85" s="18" t="s">
        <v>141</v>
      </c>
    </row>
    <row r="86" spans="1:8" x14ac:dyDescent="0.25">
      <c r="A86" s="9" t="s">
        <v>76</v>
      </c>
      <c r="B86" s="10" t="str">
        <f t="shared" si="2"/>
        <v>LI70B</v>
      </c>
      <c r="C86" s="15" t="str">
        <f t="shared" si="3"/>
        <v>XTCHLI70B</v>
      </c>
      <c r="D86" s="7" t="s">
        <v>149</v>
      </c>
      <c r="H86" s="18" t="s">
        <v>141</v>
      </c>
    </row>
    <row r="87" spans="1:8" x14ac:dyDescent="0.25">
      <c r="A87" s="9" t="s">
        <v>77</v>
      </c>
      <c r="B87" s="10" t="str">
        <f t="shared" si="2"/>
        <v>LI90</v>
      </c>
      <c r="C87" s="15" t="str">
        <f t="shared" si="3"/>
        <v>XTCHLI90</v>
      </c>
      <c r="D87" s="7" t="s">
        <v>150</v>
      </c>
      <c r="H87" s="18" t="s">
        <v>141</v>
      </c>
    </row>
    <row r="88" spans="1:8" x14ac:dyDescent="0.25">
      <c r="A88" s="9" t="s">
        <v>78</v>
      </c>
      <c r="B88" s="10" t="str">
        <f t="shared" si="2"/>
        <v>LI90B</v>
      </c>
      <c r="C88" s="15" t="str">
        <f t="shared" si="3"/>
        <v>XTCHLI90B</v>
      </c>
      <c r="D88" s="7" t="s">
        <v>151</v>
      </c>
      <c r="H88" s="18" t="s">
        <v>141</v>
      </c>
    </row>
    <row r="89" spans="1:8" x14ac:dyDescent="0.25">
      <c r="A89" s="9" t="s">
        <v>82</v>
      </c>
      <c r="B89" s="10" t="str">
        <f t="shared" si="2"/>
        <v>LPE10</v>
      </c>
      <c r="C89" s="15" t="str">
        <f t="shared" si="3"/>
        <v>XTCHLPE10</v>
      </c>
      <c r="D89" s="7" t="s">
        <v>152</v>
      </c>
      <c r="H89" s="18" t="s">
        <v>141</v>
      </c>
    </row>
    <row r="90" spans="1:8" x14ac:dyDescent="0.25">
      <c r="A90" s="9" t="s">
        <v>83</v>
      </c>
      <c r="B90" s="10" t="str">
        <f t="shared" si="2"/>
        <v>LPE12</v>
      </c>
      <c r="C90" s="15" t="str">
        <f t="shared" si="3"/>
        <v>XTCHLPE12</v>
      </c>
      <c r="D90" s="7" t="s">
        <v>153</v>
      </c>
      <c r="H90" s="18" t="s">
        <v>141</v>
      </c>
    </row>
    <row r="91" spans="1:8" x14ac:dyDescent="0.25">
      <c r="A91" s="9" t="s">
        <v>93</v>
      </c>
      <c r="B91" s="10" t="str">
        <f t="shared" si="2"/>
        <v>LPE5</v>
      </c>
      <c r="C91" s="15" t="str">
        <f t="shared" si="3"/>
        <v>XTCHLPE5</v>
      </c>
      <c r="D91" s="7" t="s">
        <v>154</v>
      </c>
      <c r="H91" s="18" t="s">
        <v>141</v>
      </c>
    </row>
    <row r="92" spans="1:8" x14ac:dyDescent="0.25">
      <c r="A92" s="9" t="s">
        <v>80</v>
      </c>
      <c r="B92" s="10" t="str">
        <f t="shared" si="2"/>
        <v>LPE6</v>
      </c>
      <c r="C92" s="15" t="str">
        <f t="shared" si="3"/>
        <v>XTCHLPE6</v>
      </c>
      <c r="D92" s="7" t="s">
        <v>155</v>
      </c>
      <c r="H92" s="18" t="s">
        <v>141</v>
      </c>
    </row>
    <row r="93" spans="1:8" x14ac:dyDescent="0.25">
      <c r="A93" s="9" t="s">
        <v>81</v>
      </c>
      <c r="B93" s="10" t="str">
        <f t="shared" si="2"/>
        <v>LPE8</v>
      </c>
      <c r="C93" s="15" t="str">
        <f t="shared" si="3"/>
        <v>XTCHLPE8</v>
      </c>
      <c r="D93" s="7" t="s">
        <v>156</v>
      </c>
      <c r="H93" s="18" t="s">
        <v>141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Sheet3</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2016-08-12T13:39:48Z</dcterms:modified>
</cp:coreProperties>
</file>