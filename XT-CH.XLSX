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360" yWindow="345" windowWidth="12195" windowHeight="9510" activeTab="1"/>
  </bookViews>
  <sheets>
    <sheet name="Sheet1" sheetId="1" r:id="rId1"/>
    <sheet name="Sheet2" sheetId="2" r:id="rId2"/>
    <sheet name="Sheet3" sheetId="3" r:id="rId3"/>
  </sheets>
  <calcPr calcId="145621"/>
</workbook>
</file>

<file path=xl/calcChain.xml><?xml version="1.0" encoding="utf-8"?>
<calcChain xmlns="http://schemas.openxmlformats.org/spreadsheetml/2006/main">
  <c r="B2" i="2" l="1"/>
  <c r="C2" i="2" s="1"/>
  <c r="B3" i="2"/>
  <c r="C3" i="2" s="1"/>
  <c r="B4" i="2"/>
  <c r="C4" i="2" s="1"/>
  <c r="B5" i="2"/>
  <c r="C5" i="2" s="1"/>
  <c r="B6" i="2"/>
  <c r="C6" i="2" s="1"/>
  <c r="B7" i="2"/>
  <c r="C7" i="2" s="1"/>
  <c r="B8" i="2"/>
  <c r="C8" i="2" s="1"/>
  <c r="B9" i="2"/>
  <c r="C9" i="2" s="1"/>
  <c r="B10" i="2"/>
  <c r="C10" i="2" s="1"/>
  <c r="B11" i="2"/>
  <c r="C11" i="2" s="1"/>
  <c r="B12" i="2"/>
  <c r="C12" i="2" s="1"/>
  <c r="B13" i="2"/>
  <c r="C13" i="2" s="1"/>
  <c r="B14" i="2"/>
  <c r="C14" i="2" s="1"/>
  <c r="B15" i="2"/>
  <c r="C15" i="2" s="1"/>
  <c r="B16" i="2"/>
  <c r="C16" i="2" s="1"/>
  <c r="B17" i="2"/>
  <c r="C17" i="2" s="1"/>
  <c r="B18" i="2"/>
  <c r="C18" i="2" s="1"/>
  <c r="B19" i="2"/>
  <c r="C19" i="2" s="1"/>
  <c r="B20" i="2"/>
  <c r="C20" i="2" s="1"/>
  <c r="B21" i="2"/>
  <c r="C21" i="2" s="1"/>
  <c r="B22" i="2"/>
  <c r="C22" i="2" s="1"/>
  <c r="B23" i="2"/>
  <c r="C23" i="2" s="1"/>
  <c r="B24" i="2"/>
  <c r="C24" i="2" s="1"/>
  <c r="B25" i="2"/>
  <c r="C25" i="2" s="1"/>
  <c r="B26" i="2"/>
  <c r="C26" i="2" s="1"/>
  <c r="B27" i="2"/>
  <c r="C27" i="2" s="1"/>
  <c r="B28" i="2"/>
  <c r="C28" i="2" s="1"/>
  <c r="B29" i="2"/>
  <c r="C29" i="2" s="1"/>
  <c r="B30" i="2"/>
  <c r="C30" i="2" s="1"/>
  <c r="B31" i="2"/>
  <c r="C31" i="2" s="1"/>
  <c r="B32" i="2"/>
  <c r="C32" i="2" s="1"/>
  <c r="B33" i="2"/>
  <c r="C33" i="2" s="1"/>
  <c r="B34" i="2"/>
  <c r="C34" i="2" s="1"/>
  <c r="B35" i="2"/>
  <c r="C35" i="2" s="1"/>
  <c r="B36" i="2"/>
  <c r="C36" i="2" s="1"/>
  <c r="B37" i="2"/>
  <c r="C37" i="2" s="1"/>
  <c r="B38" i="2"/>
  <c r="C38" i="2" s="1"/>
  <c r="B39" i="2"/>
  <c r="C39" i="2" s="1"/>
  <c r="B40" i="2"/>
  <c r="C40" i="2" s="1"/>
  <c r="B41" i="2"/>
  <c r="C41" i="2" s="1"/>
  <c r="B42" i="2"/>
  <c r="C42" i="2" s="1"/>
  <c r="B43" i="2"/>
  <c r="C43" i="2" s="1"/>
  <c r="B44" i="2"/>
  <c r="C44" i="2" s="1"/>
  <c r="B45" i="2"/>
  <c r="C45" i="2" s="1"/>
  <c r="B46" i="2"/>
  <c r="C46" i="2" s="1"/>
  <c r="B47" i="2"/>
  <c r="C47" i="2" s="1"/>
  <c r="B48" i="2"/>
  <c r="C48" i="2" s="1"/>
  <c r="B49" i="2"/>
  <c r="C49" i="2" s="1"/>
  <c r="B50" i="2"/>
  <c r="C50" i="2" s="1"/>
  <c r="B51" i="2"/>
  <c r="C51" i="2" s="1"/>
  <c r="B52" i="2"/>
  <c r="C52" i="2" s="1"/>
  <c r="B53" i="2"/>
  <c r="C53" i="2" s="1"/>
  <c r="B54" i="2"/>
  <c r="C54" i="2" s="1"/>
  <c r="B55" i="2"/>
  <c r="C55" i="2" s="1"/>
  <c r="B56" i="2"/>
  <c r="C56" i="2" s="1"/>
  <c r="B57" i="2"/>
  <c r="C57" i="2" s="1"/>
  <c r="B58" i="2"/>
  <c r="C58" i="2" s="1"/>
  <c r="B59" i="2"/>
  <c r="C59" i="2" s="1"/>
  <c r="B60" i="2"/>
  <c r="C60" i="2" s="1"/>
  <c r="B61" i="2"/>
  <c r="C61" i="2" s="1"/>
  <c r="B62" i="2"/>
  <c r="C62" i="2" s="1"/>
  <c r="B63" i="2"/>
  <c r="C63" i="2" s="1"/>
  <c r="B64" i="2"/>
  <c r="C64" i="2" s="1"/>
  <c r="B65" i="2"/>
  <c r="C65" i="2" s="1"/>
  <c r="B66" i="2"/>
  <c r="C66" i="2" s="1"/>
  <c r="B67" i="2"/>
  <c r="C67" i="2" s="1"/>
  <c r="B68" i="2"/>
  <c r="C68" i="2" s="1"/>
  <c r="B69" i="2"/>
  <c r="C69" i="2" s="1"/>
  <c r="B70" i="2"/>
  <c r="C70" i="2" s="1"/>
  <c r="B71" i="2"/>
  <c r="C71" i="2" s="1"/>
  <c r="B72" i="2"/>
  <c r="C72" i="2" s="1"/>
  <c r="B73" i="2"/>
  <c r="C73" i="2" s="1"/>
  <c r="B74" i="2"/>
  <c r="C74" i="2" s="1"/>
  <c r="B75" i="2"/>
  <c r="C75" i="2" s="1"/>
  <c r="B76" i="2"/>
  <c r="C76" i="2" s="1"/>
  <c r="B77" i="2"/>
  <c r="C77" i="2" s="1"/>
  <c r="B78" i="2"/>
  <c r="C78" i="2" s="1"/>
  <c r="B79" i="2"/>
  <c r="C79" i="2" s="1"/>
  <c r="B80" i="2"/>
  <c r="C80" i="2" s="1"/>
  <c r="B81" i="2"/>
  <c r="C81" i="2" s="1"/>
  <c r="B82" i="2"/>
  <c r="C82" i="2" s="1"/>
  <c r="B83" i="2"/>
  <c r="C83" i="2" s="1"/>
  <c r="B84" i="2"/>
  <c r="C84" i="2" s="1"/>
  <c r="B85" i="2"/>
  <c r="C85" i="2" s="1"/>
  <c r="B86" i="2"/>
  <c r="C86" i="2" s="1"/>
  <c r="B87" i="2"/>
  <c r="C87" i="2" s="1"/>
  <c r="B88" i="2"/>
  <c r="C88" i="2" s="1"/>
  <c r="B89" i="2"/>
  <c r="C89" i="2" s="1"/>
  <c r="B90" i="2"/>
  <c r="C90" i="2" s="1"/>
  <c r="B91" i="2"/>
  <c r="C91" i="2" s="1"/>
  <c r="B92" i="2"/>
  <c r="C92" i="2" s="1"/>
  <c r="B93" i="2"/>
  <c r="C93" i="2" s="1"/>
  <c r="D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2" i="1"/>
  <c r="C2" i="1"/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41" i="1"/>
  <c r="D40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</calcChain>
</file>

<file path=xl/sharedStrings.xml><?xml version="1.0" encoding="utf-8"?>
<sst xmlns="http://schemas.openxmlformats.org/spreadsheetml/2006/main" count="476" uniqueCount="162">
  <si>
    <t>NPF975</t>
  </si>
  <si>
    <t>NPFM500H</t>
  </si>
  <si>
    <t>NPBG1</t>
  </si>
  <si>
    <t>NPFV50</t>
  </si>
  <si>
    <t>VG138</t>
  </si>
  <si>
    <t>VG121</t>
  </si>
  <si>
    <t>VF823</t>
  </si>
  <si>
    <t>VF815</t>
  </si>
  <si>
    <t>VBN260</t>
  </si>
  <si>
    <t>VBN130</t>
  </si>
  <si>
    <t>VBK180</t>
  </si>
  <si>
    <t>VBK360</t>
  </si>
  <si>
    <t>VBG6</t>
  </si>
  <si>
    <t>VBG260</t>
  </si>
  <si>
    <t>NPW126</t>
  </si>
  <si>
    <t>NPFV100</t>
  </si>
  <si>
    <t>NPFW50</t>
  </si>
  <si>
    <t>NPFV70</t>
  </si>
  <si>
    <t>NB2LH</t>
  </si>
  <si>
    <t>NPBX1</t>
  </si>
  <si>
    <t>NPBN1</t>
  </si>
  <si>
    <t>NPFH50</t>
  </si>
  <si>
    <t>NP95</t>
  </si>
  <si>
    <t>NP85</t>
  </si>
  <si>
    <t>NP50</t>
  </si>
  <si>
    <t>NP45</t>
  </si>
  <si>
    <t>NB11L</t>
  </si>
  <si>
    <t>NB10L</t>
  </si>
  <si>
    <t>NB9L</t>
  </si>
  <si>
    <t>NB7L</t>
  </si>
  <si>
    <t>NB6L</t>
  </si>
  <si>
    <t>NB5L</t>
  </si>
  <si>
    <t>NB4L</t>
  </si>
  <si>
    <t>SLB10A</t>
  </si>
  <si>
    <t>BATTERIES</t>
  </si>
  <si>
    <t>XTBCG10</t>
  </si>
  <si>
    <t>XTBCH7</t>
  </si>
  <si>
    <t>XTBCJ13</t>
  </si>
  <si>
    <t>XTBCK7</t>
  </si>
  <si>
    <t>XTBCL7</t>
  </si>
  <si>
    <t>XTBCM13</t>
  </si>
  <si>
    <t>XTBLC12</t>
  </si>
  <si>
    <t>XTBLD10</t>
  </si>
  <si>
    <t>XTBLE9</t>
  </si>
  <si>
    <t>XTBLF19</t>
  </si>
  <si>
    <t>XTBLG10</t>
  </si>
  <si>
    <t>XTBLM5</t>
  </si>
  <si>
    <t>XTBLS1</t>
  </si>
  <si>
    <t>XTBLS5</t>
  </si>
  <si>
    <t>XTBMB9</t>
  </si>
  <si>
    <t>XTBP70A</t>
  </si>
  <si>
    <t>XTBP110</t>
  </si>
  <si>
    <t>XTBP511</t>
  </si>
  <si>
    <t>XTBP718</t>
  </si>
  <si>
    <t>XTBP727FD</t>
  </si>
  <si>
    <t>XTBP808</t>
  </si>
  <si>
    <t>XTBP819</t>
  </si>
  <si>
    <t>XTBP820</t>
  </si>
  <si>
    <t>XTBP827</t>
  </si>
  <si>
    <t>XTBP828</t>
  </si>
  <si>
    <t>XTBP970G</t>
  </si>
  <si>
    <t>XTBP1030</t>
  </si>
  <si>
    <t>XTBP1310</t>
  </si>
  <si>
    <t>XTCGRD54</t>
  </si>
  <si>
    <t>XTENEL3E</t>
  </si>
  <si>
    <t>XTENEL5</t>
  </si>
  <si>
    <t>XTENEL8</t>
  </si>
  <si>
    <t>XTENEL12</t>
  </si>
  <si>
    <t>XTENEL14</t>
  </si>
  <si>
    <t>XTENEL15</t>
  </si>
  <si>
    <t>XTENEL19</t>
  </si>
  <si>
    <t>XTENEL20</t>
  </si>
  <si>
    <t>XTENEL21</t>
  </si>
  <si>
    <t>XTGPH3</t>
  </si>
  <si>
    <t>XTLI42B</t>
  </si>
  <si>
    <t>XTLI50B</t>
  </si>
  <si>
    <t>XTLI70B</t>
  </si>
  <si>
    <t>XTLI90</t>
  </si>
  <si>
    <t>XTLI90B</t>
  </si>
  <si>
    <t>XTLI109</t>
  </si>
  <si>
    <t>XTLPE6</t>
  </si>
  <si>
    <t>XTLPE8</t>
  </si>
  <si>
    <t>XTLPE10</t>
  </si>
  <si>
    <t>XTLPE12</t>
  </si>
  <si>
    <t>POUCH SIZE</t>
  </si>
  <si>
    <t>BPS</t>
  </si>
  <si>
    <t>BPL</t>
  </si>
  <si>
    <t>BPM</t>
  </si>
  <si>
    <t>NP48</t>
  </si>
  <si>
    <t>ENEL23</t>
  </si>
  <si>
    <t>BCF10</t>
  </si>
  <si>
    <t>BP1130</t>
  </si>
  <si>
    <t>NB8L</t>
  </si>
  <si>
    <t>XTLPE5</t>
  </si>
  <si>
    <t>XTBCN10</t>
  </si>
  <si>
    <t>XTENEL22</t>
  </si>
  <si>
    <t>XTENEL9</t>
  </si>
  <si>
    <t>Added XT</t>
  </si>
  <si>
    <t>Removed XT</t>
  </si>
  <si>
    <t>XTBCF10</t>
  </si>
  <si>
    <t>XTBP1130</t>
  </si>
  <si>
    <t>XTENEL23</t>
  </si>
  <si>
    <t>XTNB10L</t>
  </si>
  <si>
    <t>XTNB11L</t>
  </si>
  <si>
    <t>XTNB2LH</t>
  </si>
  <si>
    <t>XTNB4L</t>
  </si>
  <si>
    <t>XTNB5L</t>
  </si>
  <si>
    <t>XTNB6L</t>
  </si>
  <si>
    <t>XTNB7L</t>
  </si>
  <si>
    <t>XTNB8L</t>
  </si>
  <si>
    <t>XTNB9L</t>
  </si>
  <si>
    <t>XTNP45</t>
  </si>
  <si>
    <t>XTNP48</t>
  </si>
  <si>
    <t>XTNP50</t>
  </si>
  <si>
    <t>XTNP85</t>
  </si>
  <si>
    <t>XTNP95</t>
  </si>
  <si>
    <t>XTNPBG1</t>
  </si>
  <si>
    <t>XTNPBN1</t>
  </si>
  <si>
    <t>XTNPBX1</t>
  </si>
  <si>
    <t>XTNPF975</t>
  </si>
  <si>
    <t>XTNPFH50</t>
  </si>
  <si>
    <t>XTNPFM500H</t>
  </si>
  <si>
    <t>XTNPFV100</t>
  </si>
  <si>
    <t>XTNPFV50</t>
  </si>
  <si>
    <t>XTNPFV70</t>
  </si>
  <si>
    <t>XTNPFW50</t>
  </si>
  <si>
    <t>XTNPW126</t>
  </si>
  <si>
    <t>XTSLB10A</t>
  </si>
  <si>
    <t>XTVBG260</t>
  </si>
  <si>
    <t>XTVBG6</t>
  </si>
  <si>
    <t>XTVBK180</t>
  </si>
  <si>
    <t>XTVBK360</t>
  </si>
  <si>
    <t>XTVBN130</t>
  </si>
  <si>
    <t>XTVBN260</t>
  </si>
  <si>
    <t>XTVF815</t>
  </si>
  <si>
    <t>XTVF823</t>
  </si>
  <si>
    <t>XTVG121</t>
  </si>
  <si>
    <t>XTVG138</t>
  </si>
  <si>
    <t>Look These up</t>
  </si>
  <si>
    <t>Add this to 5th keywords</t>
  </si>
  <si>
    <t>Added XT and CH</t>
  </si>
  <si>
    <t>Batteries battery camera kamera camcorder dslr digital lithium lithium-ion charger rechargeable</t>
  </si>
  <si>
    <t>(with chargers)</t>
  </si>
  <si>
    <t>ENEL8</t>
  </si>
  <si>
    <t>ENEL9</t>
  </si>
  <si>
    <t>GPH3</t>
  </si>
  <si>
    <t>LI109</t>
  </si>
  <si>
    <t>LI42B</t>
  </si>
  <si>
    <t>LI50B</t>
  </si>
  <si>
    <t>LI70B</t>
  </si>
  <si>
    <t>LI90</t>
  </si>
  <si>
    <t>LI90B</t>
  </si>
  <si>
    <t>LPE10</t>
  </si>
  <si>
    <t>LPE12</t>
  </si>
  <si>
    <t>LPE5</t>
  </si>
  <si>
    <t>LPE6</t>
  </si>
  <si>
    <t>LPE8</t>
  </si>
  <si>
    <t>Keywords</t>
  </si>
  <si>
    <t>Paste these</t>
  </si>
  <si>
    <t xml:space="preserve">Original </t>
  </si>
  <si>
    <t>With CH</t>
  </si>
  <si>
    <t>Main Keywords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</si>
</sst>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center"/>
    </xf>
    <xf numFmtId="0" fontId="0" fillId="0" borderId="1" xfId="0" applyFill="1" applyBorder="1"/>
    <xf numFmtId="0" fontId="0" fillId="0" borderId="0" xfId="0" applyBorder="1"/>
    <xf numFmtId="0" fontId="0" fillId="0" borderId="0" xfId="0" applyFill="1" applyBorder="1"/>
    <xf numFmtId="0" fontId="1" fillId="0" borderId="0" xfId="0" applyFont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0" fillId="4" borderId="0" xfId="0" applyFill="1"/>
    <xf numFmtId="0" fontId="2" fillId="3" borderId="0" xfId="0" applyFont="1" applyFill="1"/>
    <xf numFmtId="0" fontId="2" fillId="4" borderId="0" xfId="0" applyFont="1" applyFill="1"/>
    <xf numFmtId="0" fontId="2" fillId="2" borderId="0" xfId="0" applyFont="1" applyFill="1"/>
    <xf numFmtId="0" fontId="2" fillId="0" borderId="0" xfId="0" applyFont="1"/>
    <xf numFmtId="0" fontId="0" fillId="5" borderId="0" xfId="0" applyFill="1"/>
    <xf numFmtId="0" fontId="0" fillId="0" borderId="0" xfId="0" applyFill="1"/>
    <xf numFmtId="0" fontId="2" fillId="5" borderId="0" xfId="0" applyFont="1" applyFill="1"/>
    <xf numFmtId="0" fontId="2" fillId="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"/>
  <sheetViews>
    <sheetView workbookViewId="0">
      <pane ySplit="1" topLeftCell="A2" activePane="bottomLeft" state="frozen"/>
      <selection pane="bottomLeft" activeCell="H2" sqref="H2"/>
    </sheetView>
  </sheetViews>
  <sheetFormatPr defaultRowHeight="15" x14ac:dyDescent="0.25"/>
  <cols>
    <col min="1" max="1" width="13.140625" customWidth="1"/>
    <col min="2" max="2" width="12.7109375" bestFit="1" customWidth="1"/>
    <col min="3" max="3" width="16.140625" bestFit="1" customWidth="1"/>
    <col min="4" max="4" width="12" bestFit="1" customWidth="1"/>
    <col min="5" max="5" width="11.28515625" bestFit="1" customWidth="1"/>
    <col min="6" max="6" width="13.7109375" bestFit="1" customWidth="1"/>
    <col min="7" max="7" width="15.42578125" bestFit="1" customWidth="1"/>
    <col min="8" max="8" width="15.5703125" customWidth="1"/>
    <col min="9" max="9" width="23.28515625" bestFit="1" customWidth="1"/>
  </cols>
  <sheetData>
    <row r="1" spans="1:8" x14ac:dyDescent="0.25">
      <c r="A1" s="1" t="s">
        <v>34</v>
      </c>
      <c r="B1" t="s">
        <v>97</v>
      </c>
      <c r="C1" t="s">
        <v>140</v>
      </c>
      <c r="D1" t="s">
        <v>98</v>
      </c>
      <c r="E1" s="1" t="s">
        <v>84</v>
      </c>
      <c r="F1" s="5" t="s">
        <v>138</v>
      </c>
      <c r="G1" s="5" t="s">
        <v>142</v>
      </c>
      <c r="H1" t="s">
        <v>139</v>
      </c>
    </row>
    <row r="2" spans="1:8" x14ac:dyDescent="0.25">
      <c r="A2" s="1" t="s">
        <v>90</v>
      </c>
      <c r="B2" t="str">
        <f t="shared" ref="B2:B40" si="0">"XT"&amp;A2</f>
        <v>XTBCF10</v>
      </c>
      <c r="C2" t="str">
        <f>"XTCH"&amp;A2</f>
        <v>XTCHBCF10</v>
      </c>
      <c r="D2" t="str">
        <f t="shared" ref="D2:D40" si="1">RIGHT(B2, LEN(B2)-2)</f>
        <v>BCF10</v>
      </c>
      <c r="E2" s="1" t="s">
        <v>85</v>
      </c>
      <c r="F2" s="6" t="s">
        <v>99</v>
      </c>
      <c r="G2" t="str">
        <f>C2</f>
        <v>XTCHBCF10</v>
      </c>
      <c r="H2" t="s">
        <v>141</v>
      </c>
    </row>
    <row r="3" spans="1:8" x14ac:dyDescent="0.25">
      <c r="A3" s="1" t="s">
        <v>91</v>
      </c>
      <c r="B3" t="str">
        <f t="shared" si="0"/>
        <v>XTBP1130</v>
      </c>
      <c r="C3" t="str">
        <f t="shared" ref="C3:C66" si="2">"XTCH"&amp;A3</f>
        <v>XTCHBP1130</v>
      </c>
      <c r="D3" t="str">
        <f t="shared" si="1"/>
        <v>BP1130</v>
      </c>
      <c r="E3" s="1" t="s">
        <v>85</v>
      </c>
      <c r="F3" s="6" t="s">
        <v>100</v>
      </c>
      <c r="G3" t="str">
        <f t="shared" ref="G3:G66" si="3">C3</f>
        <v>XTCHBP1130</v>
      </c>
      <c r="H3" t="s">
        <v>141</v>
      </c>
    </row>
    <row r="4" spans="1:8" x14ac:dyDescent="0.25">
      <c r="A4" s="1" t="s">
        <v>89</v>
      </c>
      <c r="B4" t="str">
        <f t="shared" si="0"/>
        <v>XTENEL23</v>
      </c>
      <c r="C4" t="str">
        <f t="shared" si="2"/>
        <v>XTCHENEL23</v>
      </c>
      <c r="D4" t="str">
        <f t="shared" si="1"/>
        <v>ENEL23</v>
      </c>
      <c r="E4" s="1" t="s">
        <v>85</v>
      </c>
      <c r="F4" s="6" t="s">
        <v>101</v>
      </c>
      <c r="G4" t="str">
        <f t="shared" si="3"/>
        <v>XTCHENEL23</v>
      </c>
      <c r="H4" t="s">
        <v>141</v>
      </c>
    </row>
    <row r="5" spans="1:8" x14ac:dyDescent="0.25">
      <c r="A5" s="1" t="s">
        <v>27</v>
      </c>
      <c r="B5" t="str">
        <f t="shared" si="0"/>
        <v>XTNB10L</v>
      </c>
      <c r="C5" t="str">
        <f t="shared" si="2"/>
        <v>XTCHNB10L</v>
      </c>
      <c r="D5" t="str">
        <f t="shared" si="1"/>
        <v>NB10L</v>
      </c>
      <c r="E5" s="1" t="s">
        <v>85</v>
      </c>
      <c r="F5" t="s">
        <v>102</v>
      </c>
      <c r="G5" t="str">
        <f t="shared" si="3"/>
        <v>XTCHNB10L</v>
      </c>
    </row>
    <row r="6" spans="1:8" x14ac:dyDescent="0.25">
      <c r="A6" s="1" t="s">
        <v>26</v>
      </c>
      <c r="B6" t="str">
        <f t="shared" si="0"/>
        <v>XTNB11L</v>
      </c>
      <c r="C6" t="str">
        <f t="shared" si="2"/>
        <v>XTCHNB11L</v>
      </c>
      <c r="D6" t="str">
        <f t="shared" si="1"/>
        <v>NB11L</v>
      </c>
      <c r="E6" s="1" t="s">
        <v>85</v>
      </c>
      <c r="F6" t="s">
        <v>103</v>
      </c>
      <c r="G6" t="str">
        <f t="shared" si="3"/>
        <v>XTCHNB11L</v>
      </c>
    </row>
    <row r="7" spans="1:8" x14ac:dyDescent="0.25">
      <c r="A7" s="1" t="s">
        <v>18</v>
      </c>
      <c r="B7" t="str">
        <f t="shared" si="0"/>
        <v>XTNB2LH</v>
      </c>
      <c r="C7" t="str">
        <f t="shared" si="2"/>
        <v>XTCHNB2LH</v>
      </c>
      <c r="D7" t="str">
        <f t="shared" si="1"/>
        <v>NB2LH</v>
      </c>
      <c r="E7" s="1" t="s">
        <v>85</v>
      </c>
      <c r="F7" t="s">
        <v>104</v>
      </c>
      <c r="G7" t="str">
        <f t="shared" si="3"/>
        <v>XTCHNB2LH</v>
      </c>
    </row>
    <row r="8" spans="1:8" x14ac:dyDescent="0.25">
      <c r="A8" s="1" t="s">
        <v>32</v>
      </c>
      <c r="B8" t="str">
        <f t="shared" si="0"/>
        <v>XTNB4L</v>
      </c>
      <c r="C8" t="str">
        <f t="shared" si="2"/>
        <v>XTCHNB4L</v>
      </c>
      <c r="D8" t="str">
        <f t="shared" si="1"/>
        <v>NB4L</v>
      </c>
      <c r="E8" s="1" t="s">
        <v>85</v>
      </c>
      <c r="F8" t="s">
        <v>105</v>
      </c>
      <c r="G8" t="str">
        <f t="shared" si="3"/>
        <v>XTCHNB4L</v>
      </c>
    </row>
    <row r="9" spans="1:8" x14ac:dyDescent="0.25">
      <c r="A9" s="1" t="s">
        <v>31</v>
      </c>
      <c r="B9" t="str">
        <f t="shared" si="0"/>
        <v>XTNB5L</v>
      </c>
      <c r="C9" t="str">
        <f t="shared" si="2"/>
        <v>XTCHNB5L</v>
      </c>
      <c r="D9" t="str">
        <f t="shared" si="1"/>
        <v>NB5L</v>
      </c>
      <c r="E9" s="1" t="s">
        <v>85</v>
      </c>
      <c r="F9" t="s">
        <v>106</v>
      </c>
      <c r="G9" t="str">
        <f t="shared" si="3"/>
        <v>XTCHNB5L</v>
      </c>
    </row>
    <row r="10" spans="1:8" x14ac:dyDescent="0.25">
      <c r="A10" s="1" t="s">
        <v>30</v>
      </c>
      <c r="B10" t="str">
        <f t="shared" si="0"/>
        <v>XTNB6L</v>
      </c>
      <c r="C10" t="str">
        <f t="shared" si="2"/>
        <v>XTCHNB6L</v>
      </c>
      <c r="D10" t="str">
        <f t="shared" si="1"/>
        <v>NB6L</v>
      </c>
      <c r="E10" s="1" t="s">
        <v>85</v>
      </c>
      <c r="F10" t="s">
        <v>107</v>
      </c>
      <c r="G10" t="str">
        <f t="shared" si="3"/>
        <v>XTCHNB6L</v>
      </c>
    </row>
    <row r="11" spans="1:8" x14ac:dyDescent="0.25">
      <c r="A11" s="1" t="s">
        <v>29</v>
      </c>
      <c r="B11" t="str">
        <f t="shared" si="0"/>
        <v>XTNB7L</v>
      </c>
      <c r="C11" t="str">
        <f t="shared" si="2"/>
        <v>XTCHNB7L</v>
      </c>
      <c r="D11" t="str">
        <f t="shared" si="1"/>
        <v>NB7L</v>
      </c>
      <c r="E11" s="1" t="s">
        <v>85</v>
      </c>
      <c r="F11" t="s">
        <v>108</v>
      </c>
      <c r="G11" t="str">
        <f t="shared" si="3"/>
        <v>XTCHNB7L</v>
      </c>
    </row>
    <row r="12" spans="1:8" x14ac:dyDescent="0.25">
      <c r="A12" s="1" t="s">
        <v>92</v>
      </c>
      <c r="B12" t="str">
        <f t="shared" si="0"/>
        <v>XTNB8L</v>
      </c>
      <c r="C12" t="str">
        <f t="shared" si="2"/>
        <v>XTCHNB8L</v>
      </c>
      <c r="D12" t="str">
        <f t="shared" si="1"/>
        <v>NB8L</v>
      </c>
      <c r="E12" s="1" t="s">
        <v>85</v>
      </c>
      <c r="F12" t="s">
        <v>109</v>
      </c>
      <c r="G12" t="str">
        <f t="shared" si="3"/>
        <v>XTCHNB8L</v>
      </c>
    </row>
    <row r="13" spans="1:8" x14ac:dyDescent="0.25">
      <c r="A13" s="1" t="s">
        <v>28</v>
      </c>
      <c r="B13" t="str">
        <f t="shared" si="0"/>
        <v>XTNB9L</v>
      </c>
      <c r="C13" t="str">
        <f t="shared" si="2"/>
        <v>XTCHNB9L</v>
      </c>
      <c r="D13" t="str">
        <f t="shared" si="1"/>
        <v>NB9L</v>
      </c>
      <c r="E13" s="1" t="s">
        <v>85</v>
      </c>
      <c r="F13" t="s">
        <v>110</v>
      </c>
      <c r="G13" t="str">
        <f t="shared" si="3"/>
        <v>XTCHNB9L</v>
      </c>
    </row>
    <row r="14" spans="1:8" x14ac:dyDescent="0.25">
      <c r="A14" s="1" t="s">
        <v>25</v>
      </c>
      <c r="B14" t="str">
        <f t="shared" si="0"/>
        <v>XTNP45</v>
      </c>
      <c r="C14" t="str">
        <f t="shared" si="2"/>
        <v>XTCHNP45</v>
      </c>
      <c r="D14" t="str">
        <f t="shared" si="1"/>
        <v>NP45</v>
      </c>
      <c r="E14" s="1" t="s">
        <v>85</v>
      </c>
      <c r="F14" t="s">
        <v>111</v>
      </c>
      <c r="G14" t="str">
        <f t="shared" si="3"/>
        <v>XTCHNP45</v>
      </c>
    </row>
    <row r="15" spans="1:8" x14ac:dyDescent="0.25">
      <c r="A15" s="3" t="s">
        <v>88</v>
      </c>
      <c r="B15" t="str">
        <f t="shared" si="0"/>
        <v>XTNP48</v>
      </c>
      <c r="C15" t="str">
        <f t="shared" si="2"/>
        <v>XTCHNP48</v>
      </c>
      <c r="D15" t="str">
        <f t="shared" si="1"/>
        <v>NP48</v>
      </c>
      <c r="E15" s="1" t="s">
        <v>85</v>
      </c>
      <c r="F15" t="s">
        <v>112</v>
      </c>
      <c r="G15" t="str">
        <f t="shared" si="3"/>
        <v>XTCHNP48</v>
      </c>
    </row>
    <row r="16" spans="1:8" x14ac:dyDescent="0.25">
      <c r="A16" s="1" t="s">
        <v>24</v>
      </c>
      <c r="B16" t="str">
        <f t="shared" si="0"/>
        <v>XTNP50</v>
      </c>
      <c r="C16" t="str">
        <f t="shared" si="2"/>
        <v>XTCHNP50</v>
      </c>
      <c r="D16" t="str">
        <f t="shared" si="1"/>
        <v>NP50</v>
      </c>
      <c r="E16" s="1" t="s">
        <v>85</v>
      </c>
      <c r="F16" t="s">
        <v>113</v>
      </c>
      <c r="G16" t="str">
        <f t="shared" si="3"/>
        <v>XTCHNP50</v>
      </c>
    </row>
    <row r="17" spans="1:7" x14ac:dyDescent="0.25">
      <c r="A17" s="1" t="s">
        <v>23</v>
      </c>
      <c r="B17" t="str">
        <f t="shared" si="0"/>
        <v>XTNP85</v>
      </c>
      <c r="C17" t="str">
        <f t="shared" si="2"/>
        <v>XTCHNP85</v>
      </c>
      <c r="D17" t="str">
        <f t="shared" si="1"/>
        <v>NP85</v>
      </c>
      <c r="E17" s="1" t="s">
        <v>85</v>
      </c>
      <c r="F17" t="s">
        <v>114</v>
      </c>
      <c r="G17" t="str">
        <f t="shared" si="3"/>
        <v>XTCHNP85</v>
      </c>
    </row>
    <row r="18" spans="1:7" x14ac:dyDescent="0.25">
      <c r="A18" s="1" t="s">
        <v>22</v>
      </c>
      <c r="B18" t="str">
        <f t="shared" si="0"/>
        <v>XTNP95</v>
      </c>
      <c r="C18" t="str">
        <f t="shared" si="2"/>
        <v>XTCHNP95</v>
      </c>
      <c r="D18" t="str">
        <f t="shared" si="1"/>
        <v>NP95</v>
      </c>
      <c r="E18" s="1" t="s">
        <v>85</v>
      </c>
      <c r="F18" t="s">
        <v>115</v>
      </c>
      <c r="G18" t="str">
        <f t="shared" si="3"/>
        <v>XTCHNP95</v>
      </c>
    </row>
    <row r="19" spans="1:7" x14ac:dyDescent="0.25">
      <c r="A19" s="1" t="s">
        <v>2</v>
      </c>
      <c r="B19" t="str">
        <f t="shared" si="0"/>
        <v>XTNPBG1</v>
      </c>
      <c r="C19" t="str">
        <f t="shared" si="2"/>
        <v>XTCHNPBG1</v>
      </c>
      <c r="D19" t="str">
        <f t="shared" si="1"/>
        <v>NPBG1</v>
      </c>
      <c r="E19" s="1" t="s">
        <v>85</v>
      </c>
      <c r="F19" t="s">
        <v>116</v>
      </c>
      <c r="G19" t="str">
        <f t="shared" si="3"/>
        <v>XTCHNPBG1</v>
      </c>
    </row>
    <row r="20" spans="1:7" x14ac:dyDescent="0.25">
      <c r="A20" s="1" t="s">
        <v>20</v>
      </c>
      <c r="B20" t="str">
        <f t="shared" si="0"/>
        <v>XTNPBN1</v>
      </c>
      <c r="C20" t="str">
        <f t="shared" si="2"/>
        <v>XTCHNPBN1</v>
      </c>
      <c r="D20" t="str">
        <f t="shared" si="1"/>
        <v>NPBN1</v>
      </c>
      <c r="E20" s="1" t="s">
        <v>85</v>
      </c>
      <c r="F20" t="s">
        <v>117</v>
      </c>
      <c r="G20" t="str">
        <f t="shared" si="3"/>
        <v>XTCHNPBN1</v>
      </c>
    </row>
    <row r="21" spans="1:7" x14ac:dyDescent="0.25">
      <c r="A21" s="1" t="s">
        <v>19</v>
      </c>
      <c r="B21" t="str">
        <f t="shared" si="0"/>
        <v>XTNPBX1</v>
      </c>
      <c r="C21" t="str">
        <f t="shared" si="2"/>
        <v>XTCHNPBX1</v>
      </c>
      <c r="D21" t="str">
        <f t="shared" si="1"/>
        <v>NPBX1</v>
      </c>
      <c r="E21" s="1" t="s">
        <v>85</v>
      </c>
      <c r="F21" t="s">
        <v>118</v>
      </c>
      <c r="G21" t="str">
        <f t="shared" si="3"/>
        <v>XTCHNPBX1</v>
      </c>
    </row>
    <row r="22" spans="1:7" x14ac:dyDescent="0.25">
      <c r="A22" s="1" t="s">
        <v>0</v>
      </c>
      <c r="B22" t="str">
        <f t="shared" si="0"/>
        <v>XTNPF975</v>
      </c>
      <c r="C22" t="str">
        <f t="shared" si="2"/>
        <v>XTCHNPF975</v>
      </c>
      <c r="D22" t="str">
        <f t="shared" si="1"/>
        <v>NPF975</v>
      </c>
      <c r="E22" s="1" t="s">
        <v>86</v>
      </c>
      <c r="F22" t="s">
        <v>119</v>
      </c>
      <c r="G22" t="str">
        <f t="shared" si="3"/>
        <v>XTCHNPF975</v>
      </c>
    </row>
    <row r="23" spans="1:7" x14ac:dyDescent="0.25">
      <c r="A23" s="1" t="s">
        <v>21</v>
      </c>
      <c r="B23" t="str">
        <f t="shared" si="0"/>
        <v>XTNPFH50</v>
      </c>
      <c r="C23" t="str">
        <f t="shared" si="2"/>
        <v>XTCHNPFH50</v>
      </c>
      <c r="D23" t="str">
        <f t="shared" si="1"/>
        <v>NPFH50</v>
      </c>
      <c r="E23" s="1" t="s">
        <v>85</v>
      </c>
      <c r="F23" t="s">
        <v>120</v>
      </c>
      <c r="G23" t="str">
        <f t="shared" si="3"/>
        <v>XTCHNPFH50</v>
      </c>
    </row>
    <row r="24" spans="1:7" x14ac:dyDescent="0.25">
      <c r="A24" s="1" t="s">
        <v>1</v>
      </c>
      <c r="B24" t="str">
        <f t="shared" si="0"/>
        <v>XTNPFM500H</v>
      </c>
      <c r="C24" t="str">
        <f t="shared" si="2"/>
        <v>XTCHNPFM500H</v>
      </c>
      <c r="D24" t="str">
        <f t="shared" si="1"/>
        <v>NPFM500H</v>
      </c>
      <c r="E24" s="1" t="s">
        <v>85</v>
      </c>
      <c r="F24" t="s">
        <v>121</v>
      </c>
      <c r="G24" t="str">
        <f t="shared" si="3"/>
        <v>XTCHNPFM500H</v>
      </c>
    </row>
    <row r="25" spans="1:7" x14ac:dyDescent="0.25">
      <c r="A25" s="1" t="s">
        <v>15</v>
      </c>
      <c r="B25" t="str">
        <f t="shared" si="0"/>
        <v>XTNPFV100</v>
      </c>
      <c r="C25" t="str">
        <f t="shared" si="2"/>
        <v>XTCHNPFV100</v>
      </c>
      <c r="D25" t="str">
        <f t="shared" si="1"/>
        <v>NPFV100</v>
      </c>
      <c r="E25" s="1" t="s">
        <v>86</v>
      </c>
      <c r="F25" t="s">
        <v>122</v>
      </c>
      <c r="G25" t="str">
        <f t="shared" si="3"/>
        <v>XTCHNPFV100</v>
      </c>
    </row>
    <row r="26" spans="1:7" x14ac:dyDescent="0.25">
      <c r="A26" s="1" t="s">
        <v>3</v>
      </c>
      <c r="B26" t="str">
        <f t="shared" si="0"/>
        <v>XTNPFV50</v>
      </c>
      <c r="C26" t="str">
        <f t="shared" si="2"/>
        <v>XTCHNPFV50</v>
      </c>
      <c r="D26" t="str">
        <f t="shared" si="1"/>
        <v>NPFV50</v>
      </c>
      <c r="E26" s="1" t="s">
        <v>85</v>
      </c>
      <c r="F26" t="s">
        <v>123</v>
      </c>
      <c r="G26" t="str">
        <f t="shared" si="3"/>
        <v>XTCHNPFV50</v>
      </c>
    </row>
    <row r="27" spans="1:7" x14ac:dyDescent="0.25">
      <c r="A27" s="1" t="s">
        <v>17</v>
      </c>
      <c r="B27" t="str">
        <f t="shared" si="0"/>
        <v>XTNPFV70</v>
      </c>
      <c r="C27" t="str">
        <f t="shared" si="2"/>
        <v>XTCHNPFV70</v>
      </c>
      <c r="D27" t="str">
        <f t="shared" si="1"/>
        <v>NPFV70</v>
      </c>
      <c r="E27" s="1" t="s">
        <v>86</v>
      </c>
      <c r="F27" t="s">
        <v>124</v>
      </c>
      <c r="G27" t="str">
        <f t="shared" si="3"/>
        <v>XTCHNPFV70</v>
      </c>
    </row>
    <row r="28" spans="1:7" x14ac:dyDescent="0.25">
      <c r="A28" s="1" t="s">
        <v>16</v>
      </c>
      <c r="B28" t="str">
        <f t="shared" si="0"/>
        <v>XTNPFW50</v>
      </c>
      <c r="C28" t="str">
        <f t="shared" si="2"/>
        <v>XTCHNPFW50</v>
      </c>
      <c r="D28" t="str">
        <f t="shared" si="1"/>
        <v>NPFW50</v>
      </c>
      <c r="E28" s="1" t="s">
        <v>85</v>
      </c>
      <c r="F28" t="s">
        <v>125</v>
      </c>
      <c r="G28" t="str">
        <f t="shared" si="3"/>
        <v>XTCHNPFW50</v>
      </c>
    </row>
    <row r="29" spans="1:7" x14ac:dyDescent="0.25">
      <c r="A29" s="1" t="s">
        <v>14</v>
      </c>
      <c r="B29" t="str">
        <f t="shared" si="0"/>
        <v>XTNPW126</v>
      </c>
      <c r="C29" t="str">
        <f t="shared" si="2"/>
        <v>XTCHNPW126</v>
      </c>
      <c r="D29" t="str">
        <f t="shared" si="1"/>
        <v>NPW126</v>
      </c>
      <c r="E29" s="1" t="s">
        <v>85</v>
      </c>
      <c r="F29" t="s">
        <v>126</v>
      </c>
      <c r="G29" t="str">
        <f t="shared" si="3"/>
        <v>XTCHNPW126</v>
      </c>
    </row>
    <row r="30" spans="1:7" x14ac:dyDescent="0.25">
      <c r="A30" s="1" t="s">
        <v>33</v>
      </c>
      <c r="B30" t="str">
        <f t="shared" si="0"/>
        <v>XTSLB10A</v>
      </c>
      <c r="C30" t="str">
        <f t="shared" si="2"/>
        <v>XTCHSLB10A</v>
      </c>
      <c r="D30" t="str">
        <f t="shared" si="1"/>
        <v>SLB10A</v>
      </c>
      <c r="E30" s="1" t="s">
        <v>85</v>
      </c>
      <c r="F30" t="s">
        <v>127</v>
      </c>
      <c r="G30" t="str">
        <f t="shared" si="3"/>
        <v>XTCHSLB10A</v>
      </c>
    </row>
    <row r="31" spans="1:7" x14ac:dyDescent="0.25">
      <c r="A31" s="1" t="s">
        <v>13</v>
      </c>
      <c r="B31" t="str">
        <f t="shared" si="0"/>
        <v>XTVBG260</v>
      </c>
      <c r="C31" t="str">
        <f t="shared" si="2"/>
        <v>XTCHVBG260</v>
      </c>
      <c r="D31" t="str">
        <f t="shared" si="1"/>
        <v>VBG260</v>
      </c>
      <c r="E31" s="1" t="s">
        <v>87</v>
      </c>
      <c r="F31" t="s">
        <v>128</v>
      </c>
      <c r="G31" t="str">
        <f t="shared" si="3"/>
        <v>XTCHVBG260</v>
      </c>
    </row>
    <row r="32" spans="1:7" x14ac:dyDescent="0.25">
      <c r="A32" s="1" t="s">
        <v>12</v>
      </c>
      <c r="B32" t="str">
        <f t="shared" si="0"/>
        <v>XTVBG6</v>
      </c>
      <c r="C32" t="str">
        <f t="shared" si="2"/>
        <v>XTCHVBG6</v>
      </c>
      <c r="D32" t="str">
        <f t="shared" si="1"/>
        <v>VBG6</v>
      </c>
      <c r="E32" s="1" t="s">
        <v>87</v>
      </c>
      <c r="F32" t="s">
        <v>129</v>
      </c>
      <c r="G32" t="str">
        <f t="shared" si="3"/>
        <v>XTCHVBG6</v>
      </c>
    </row>
    <row r="33" spans="1:7" x14ac:dyDescent="0.25">
      <c r="A33" s="1" t="s">
        <v>10</v>
      </c>
      <c r="B33" t="str">
        <f t="shared" si="0"/>
        <v>XTVBK180</v>
      </c>
      <c r="C33" t="str">
        <f t="shared" si="2"/>
        <v>XTCHVBK180</v>
      </c>
      <c r="D33" t="str">
        <f t="shared" si="1"/>
        <v>VBK180</v>
      </c>
      <c r="E33" s="1"/>
      <c r="F33" t="s">
        <v>130</v>
      </c>
      <c r="G33" t="str">
        <f t="shared" si="3"/>
        <v>XTCHVBK180</v>
      </c>
    </row>
    <row r="34" spans="1:7" x14ac:dyDescent="0.25">
      <c r="A34" s="1" t="s">
        <v>11</v>
      </c>
      <c r="B34" t="str">
        <f t="shared" si="0"/>
        <v>XTVBK360</v>
      </c>
      <c r="C34" t="str">
        <f t="shared" si="2"/>
        <v>XTCHVBK360</v>
      </c>
      <c r="D34" t="str">
        <f t="shared" si="1"/>
        <v>VBK360</v>
      </c>
      <c r="E34" s="1" t="s">
        <v>87</v>
      </c>
      <c r="F34" t="s">
        <v>131</v>
      </c>
      <c r="G34" t="str">
        <f t="shared" si="3"/>
        <v>XTCHVBK360</v>
      </c>
    </row>
    <row r="35" spans="1:7" x14ac:dyDescent="0.25">
      <c r="A35" s="1" t="s">
        <v>9</v>
      </c>
      <c r="B35" t="str">
        <f t="shared" si="0"/>
        <v>XTVBN130</v>
      </c>
      <c r="C35" t="str">
        <f t="shared" si="2"/>
        <v>XTCHVBN130</v>
      </c>
      <c r="D35" t="str">
        <f t="shared" si="1"/>
        <v>VBN130</v>
      </c>
      <c r="E35" s="1" t="s">
        <v>85</v>
      </c>
      <c r="F35" t="s">
        <v>132</v>
      </c>
      <c r="G35" t="str">
        <f t="shared" si="3"/>
        <v>XTCHVBN130</v>
      </c>
    </row>
    <row r="36" spans="1:7" x14ac:dyDescent="0.25">
      <c r="A36" s="1" t="s">
        <v>8</v>
      </c>
      <c r="B36" t="str">
        <f t="shared" si="0"/>
        <v>XTVBN260</v>
      </c>
      <c r="C36" t="str">
        <f t="shared" si="2"/>
        <v>XTCHVBN260</v>
      </c>
      <c r="D36" t="str">
        <f t="shared" si="1"/>
        <v>VBN260</v>
      </c>
      <c r="E36" s="1" t="s">
        <v>86</v>
      </c>
      <c r="F36" t="s">
        <v>133</v>
      </c>
      <c r="G36" t="str">
        <f t="shared" si="3"/>
        <v>XTCHVBN260</v>
      </c>
    </row>
    <row r="37" spans="1:7" x14ac:dyDescent="0.25">
      <c r="A37" s="1" t="s">
        <v>7</v>
      </c>
      <c r="B37" t="str">
        <f t="shared" si="0"/>
        <v>XTVF815</v>
      </c>
      <c r="C37" t="str">
        <f t="shared" si="2"/>
        <v>XTCHVF815</v>
      </c>
      <c r="D37" t="str">
        <f t="shared" si="1"/>
        <v>VF815</v>
      </c>
      <c r="E37" s="1" t="s">
        <v>86</v>
      </c>
      <c r="F37" t="s">
        <v>134</v>
      </c>
      <c r="G37" t="str">
        <f t="shared" si="3"/>
        <v>XTCHVF815</v>
      </c>
    </row>
    <row r="38" spans="1:7" x14ac:dyDescent="0.25">
      <c r="A38" s="1" t="s">
        <v>6</v>
      </c>
      <c r="B38" t="str">
        <f t="shared" si="0"/>
        <v>XTVF823</v>
      </c>
      <c r="C38" t="str">
        <f t="shared" si="2"/>
        <v>XTCHVF823</v>
      </c>
      <c r="D38" t="str">
        <f t="shared" si="1"/>
        <v>VF823</v>
      </c>
      <c r="E38" s="1" t="s">
        <v>86</v>
      </c>
      <c r="F38" t="s">
        <v>135</v>
      </c>
      <c r="G38" t="str">
        <f t="shared" si="3"/>
        <v>XTCHVF823</v>
      </c>
    </row>
    <row r="39" spans="1:7" x14ac:dyDescent="0.25">
      <c r="A39" s="1" t="s">
        <v>5</v>
      </c>
      <c r="B39" t="str">
        <f t="shared" si="0"/>
        <v>XTVG121</v>
      </c>
      <c r="C39" t="str">
        <f t="shared" si="2"/>
        <v>XTCHVG121</v>
      </c>
      <c r="D39" t="str">
        <f t="shared" si="1"/>
        <v>VG121</v>
      </c>
      <c r="E39" s="1" t="s">
        <v>85</v>
      </c>
      <c r="F39" t="s">
        <v>136</v>
      </c>
      <c r="G39" t="str">
        <f t="shared" si="3"/>
        <v>XTCHVG121</v>
      </c>
    </row>
    <row r="40" spans="1:7" x14ac:dyDescent="0.25">
      <c r="A40" s="1" t="s">
        <v>4</v>
      </c>
      <c r="B40" t="str">
        <f t="shared" si="0"/>
        <v>XTVG138</v>
      </c>
      <c r="C40" t="str">
        <f t="shared" si="2"/>
        <v>XTCHVG138</v>
      </c>
      <c r="D40" t="str">
        <f t="shared" si="1"/>
        <v>VG138</v>
      </c>
      <c r="E40" s="1" t="s">
        <v>86</v>
      </c>
      <c r="F40" t="s">
        <v>137</v>
      </c>
      <c r="G40" t="str">
        <f t="shared" si="3"/>
        <v>XTCHVG138</v>
      </c>
    </row>
    <row r="41" spans="1:7" x14ac:dyDescent="0.25">
      <c r="A41" s="1" t="s">
        <v>35</v>
      </c>
      <c r="D41" t="str">
        <f t="shared" ref="D41:D72" si="4">RIGHT(A41, LEN(A41)-2)</f>
        <v>BCG10</v>
      </c>
      <c r="E41" s="1" t="s">
        <v>85</v>
      </c>
      <c r="F41" t="s">
        <v>99</v>
      </c>
      <c r="G41">
        <f t="shared" si="3"/>
        <v>0</v>
      </c>
    </row>
    <row r="42" spans="1:7" x14ac:dyDescent="0.25">
      <c r="A42" s="2" t="s">
        <v>36</v>
      </c>
      <c r="D42" t="str">
        <f t="shared" si="4"/>
        <v>BCH7</v>
      </c>
      <c r="E42" s="1" t="s">
        <v>85</v>
      </c>
      <c r="F42" t="s">
        <v>100</v>
      </c>
      <c r="G42">
        <f t="shared" si="3"/>
        <v>0</v>
      </c>
    </row>
    <row r="43" spans="1:7" x14ac:dyDescent="0.25">
      <c r="A43" s="2" t="s">
        <v>37</v>
      </c>
      <c r="D43" t="str">
        <f t="shared" si="4"/>
        <v>BCJ13</v>
      </c>
      <c r="E43" s="1" t="s">
        <v>85</v>
      </c>
      <c r="F43" t="s">
        <v>101</v>
      </c>
      <c r="G43">
        <f t="shared" si="3"/>
        <v>0</v>
      </c>
    </row>
    <row r="44" spans="1:7" x14ac:dyDescent="0.25">
      <c r="A44" s="1" t="s">
        <v>38</v>
      </c>
      <c r="D44" t="str">
        <f t="shared" si="4"/>
        <v>BCK7</v>
      </c>
      <c r="E44" s="1" t="s">
        <v>85</v>
      </c>
      <c r="F44" t="s">
        <v>102</v>
      </c>
      <c r="G44">
        <f t="shared" si="3"/>
        <v>0</v>
      </c>
    </row>
    <row r="45" spans="1:7" x14ac:dyDescent="0.25">
      <c r="A45" s="1" t="s">
        <v>39</v>
      </c>
      <c r="D45" t="str">
        <f t="shared" si="4"/>
        <v>BCL7</v>
      </c>
      <c r="E45" s="1" t="s">
        <v>85</v>
      </c>
      <c r="F45" t="s">
        <v>103</v>
      </c>
      <c r="G45">
        <f t="shared" si="3"/>
        <v>0</v>
      </c>
    </row>
    <row r="46" spans="1:7" x14ac:dyDescent="0.25">
      <c r="A46" s="1" t="s">
        <v>40</v>
      </c>
      <c r="D46" t="str">
        <f t="shared" si="4"/>
        <v>BCM13</v>
      </c>
      <c r="E46" s="1" t="s">
        <v>85</v>
      </c>
      <c r="F46" t="s">
        <v>104</v>
      </c>
      <c r="G46">
        <f t="shared" si="3"/>
        <v>0</v>
      </c>
    </row>
    <row r="47" spans="1:7" x14ac:dyDescent="0.25">
      <c r="A47" s="1" t="s">
        <v>94</v>
      </c>
      <c r="D47" t="str">
        <f t="shared" si="4"/>
        <v>BCN10</v>
      </c>
      <c r="E47" s="1" t="s">
        <v>85</v>
      </c>
      <c r="F47" t="s">
        <v>105</v>
      </c>
      <c r="G47">
        <f t="shared" si="3"/>
        <v>0</v>
      </c>
    </row>
    <row r="48" spans="1:7" x14ac:dyDescent="0.25">
      <c r="A48" s="1" t="s">
        <v>41</v>
      </c>
      <c r="D48" t="str">
        <f t="shared" si="4"/>
        <v>BLC12</v>
      </c>
      <c r="E48" s="1" t="s">
        <v>85</v>
      </c>
      <c r="F48" t="s">
        <v>106</v>
      </c>
      <c r="G48">
        <f t="shared" si="3"/>
        <v>0</v>
      </c>
    </row>
    <row r="49" spans="1:7" x14ac:dyDescent="0.25">
      <c r="A49" s="1" t="s">
        <v>42</v>
      </c>
      <c r="D49" t="str">
        <f t="shared" si="4"/>
        <v>BLD10</v>
      </c>
      <c r="E49" s="1" t="s">
        <v>85</v>
      </c>
      <c r="F49" t="s">
        <v>107</v>
      </c>
      <c r="G49">
        <f t="shared" si="3"/>
        <v>0</v>
      </c>
    </row>
    <row r="50" spans="1:7" x14ac:dyDescent="0.25">
      <c r="A50" s="1" t="s">
        <v>43</v>
      </c>
      <c r="D50" t="str">
        <f t="shared" si="4"/>
        <v>BLE9</v>
      </c>
      <c r="E50" s="1" t="s">
        <v>85</v>
      </c>
      <c r="F50" t="s">
        <v>108</v>
      </c>
      <c r="G50">
        <f t="shared" si="3"/>
        <v>0</v>
      </c>
    </row>
    <row r="51" spans="1:7" x14ac:dyDescent="0.25">
      <c r="A51" s="1" t="s">
        <v>44</v>
      </c>
      <c r="D51" t="str">
        <f t="shared" si="4"/>
        <v>BLF19</v>
      </c>
      <c r="E51" s="1" t="s">
        <v>85</v>
      </c>
      <c r="F51" t="s">
        <v>109</v>
      </c>
      <c r="G51">
        <f t="shared" si="3"/>
        <v>0</v>
      </c>
    </row>
    <row r="52" spans="1:7" x14ac:dyDescent="0.25">
      <c r="A52" s="1" t="s">
        <v>45</v>
      </c>
      <c r="D52" t="str">
        <f t="shared" si="4"/>
        <v>BLG10</v>
      </c>
      <c r="E52" s="1" t="s">
        <v>85</v>
      </c>
      <c r="F52" t="s">
        <v>110</v>
      </c>
      <c r="G52">
        <f t="shared" si="3"/>
        <v>0</v>
      </c>
    </row>
    <row r="53" spans="1:7" x14ac:dyDescent="0.25">
      <c r="A53" s="1" t="s">
        <v>46</v>
      </c>
      <c r="D53" t="str">
        <f t="shared" si="4"/>
        <v>BLM5</v>
      </c>
      <c r="E53" s="1" t="s">
        <v>85</v>
      </c>
      <c r="F53" t="s">
        <v>111</v>
      </c>
      <c r="G53">
        <f t="shared" si="3"/>
        <v>0</v>
      </c>
    </row>
    <row r="54" spans="1:7" x14ac:dyDescent="0.25">
      <c r="A54" s="1" t="s">
        <v>47</v>
      </c>
      <c r="D54" t="str">
        <f t="shared" si="4"/>
        <v>BLS1</v>
      </c>
      <c r="E54" s="1" t="s">
        <v>85</v>
      </c>
      <c r="F54" t="s">
        <v>112</v>
      </c>
      <c r="G54">
        <f t="shared" si="3"/>
        <v>0</v>
      </c>
    </row>
    <row r="55" spans="1:7" x14ac:dyDescent="0.25">
      <c r="A55" s="1" t="s">
        <v>48</v>
      </c>
      <c r="D55" t="str">
        <f t="shared" si="4"/>
        <v>BLS5</v>
      </c>
      <c r="E55" s="1" t="s">
        <v>85</v>
      </c>
      <c r="F55" t="s">
        <v>113</v>
      </c>
      <c r="G55">
        <f t="shared" si="3"/>
        <v>0</v>
      </c>
    </row>
    <row r="56" spans="1:7" x14ac:dyDescent="0.25">
      <c r="A56" s="1" t="s">
        <v>49</v>
      </c>
      <c r="D56" t="str">
        <f t="shared" si="4"/>
        <v>BMB9</v>
      </c>
      <c r="E56" s="1"/>
      <c r="F56" t="s">
        <v>114</v>
      </c>
      <c r="G56">
        <f t="shared" si="3"/>
        <v>0</v>
      </c>
    </row>
    <row r="57" spans="1:7" x14ac:dyDescent="0.25">
      <c r="A57" s="1" t="s">
        <v>61</v>
      </c>
      <c r="D57" t="str">
        <f t="shared" si="4"/>
        <v>BP1030</v>
      </c>
      <c r="E57" s="1" t="s">
        <v>85</v>
      </c>
      <c r="F57" t="s">
        <v>115</v>
      </c>
      <c r="G57">
        <f t="shared" si="3"/>
        <v>0</v>
      </c>
    </row>
    <row r="58" spans="1:7" x14ac:dyDescent="0.25">
      <c r="A58" s="1" t="s">
        <v>51</v>
      </c>
      <c r="D58" t="str">
        <f t="shared" si="4"/>
        <v>BP110</v>
      </c>
      <c r="E58" s="1" t="s">
        <v>85</v>
      </c>
      <c r="F58" t="s">
        <v>116</v>
      </c>
      <c r="G58">
        <f t="shared" si="3"/>
        <v>0</v>
      </c>
    </row>
    <row r="59" spans="1:7" x14ac:dyDescent="0.25">
      <c r="A59" s="1" t="s">
        <v>62</v>
      </c>
      <c r="D59" t="str">
        <f t="shared" si="4"/>
        <v>BP1310</v>
      </c>
      <c r="E59" s="1" t="s">
        <v>85</v>
      </c>
      <c r="F59" t="s">
        <v>117</v>
      </c>
      <c r="G59">
        <f t="shared" si="3"/>
        <v>0</v>
      </c>
    </row>
    <row r="60" spans="1:7" x14ac:dyDescent="0.25">
      <c r="A60" s="1" t="s">
        <v>52</v>
      </c>
      <c r="D60" t="str">
        <f t="shared" si="4"/>
        <v>BP511</v>
      </c>
      <c r="E60" s="1" t="s">
        <v>85</v>
      </c>
      <c r="F60" t="s">
        <v>118</v>
      </c>
      <c r="G60">
        <f t="shared" si="3"/>
        <v>0</v>
      </c>
    </row>
    <row r="61" spans="1:7" x14ac:dyDescent="0.25">
      <c r="A61" s="1" t="s">
        <v>50</v>
      </c>
      <c r="D61" t="str">
        <f t="shared" si="4"/>
        <v>BP70A</v>
      </c>
      <c r="E61" s="1" t="s">
        <v>85</v>
      </c>
      <c r="F61" t="s">
        <v>119</v>
      </c>
      <c r="G61">
        <f t="shared" si="3"/>
        <v>0</v>
      </c>
    </row>
    <row r="62" spans="1:7" x14ac:dyDescent="0.25">
      <c r="A62" s="1" t="s">
        <v>53</v>
      </c>
      <c r="D62" t="str">
        <f t="shared" si="4"/>
        <v>BP718</v>
      </c>
      <c r="E62" s="1" t="s">
        <v>85</v>
      </c>
      <c r="F62" t="s">
        <v>120</v>
      </c>
      <c r="G62">
        <f t="shared" si="3"/>
        <v>0</v>
      </c>
    </row>
    <row r="63" spans="1:7" x14ac:dyDescent="0.25">
      <c r="A63" s="1" t="s">
        <v>54</v>
      </c>
      <c r="D63" t="str">
        <f t="shared" si="4"/>
        <v>BP727FD</v>
      </c>
      <c r="E63" s="1" t="s">
        <v>86</v>
      </c>
      <c r="F63" t="s">
        <v>121</v>
      </c>
      <c r="G63">
        <f t="shared" si="3"/>
        <v>0</v>
      </c>
    </row>
    <row r="64" spans="1:7" x14ac:dyDescent="0.25">
      <c r="A64" s="1" t="s">
        <v>55</v>
      </c>
      <c r="D64" t="str">
        <f t="shared" si="4"/>
        <v>BP808</v>
      </c>
      <c r="E64" s="1" t="s">
        <v>85</v>
      </c>
      <c r="F64" t="s">
        <v>122</v>
      </c>
      <c r="G64">
        <f t="shared" si="3"/>
        <v>0</v>
      </c>
    </row>
    <row r="65" spans="1:7" x14ac:dyDescent="0.25">
      <c r="A65" s="1" t="s">
        <v>56</v>
      </c>
      <c r="D65" t="str">
        <f t="shared" si="4"/>
        <v>BP819</v>
      </c>
      <c r="E65" s="1" t="s">
        <v>86</v>
      </c>
      <c r="F65" t="s">
        <v>123</v>
      </c>
      <c r="G65">
        <f t="shared" si="3"/>
        <v>0</v>
      </c>
    </row>
    <row r="66" spans="1:7" x14ac:dyDescent="0.25">
      <c r="A66" s="1" t="s">
        <v>57</v>
      </c>
      <c r="D66" t="str">
        <f t="shared" si="4"/>
        <v>BP820</v>
      </c>
      <c r="E66" s="1" t="s">
        <v>86</v>
      </c>
      <c r="F66" t="s">
        <v>124</v>
      </c>
      <c r="G66">
        <f t="shared" si="3"/>
        <v>0</v>
      </c>
    </row>
    <row r="67" spans="1:7" x14ac:dyDescent="0.25">
      <c r="A67" s="1" t="s">
        <v>58</v>
      </c>
      <c r="D67" t="str">
        <f t="shared" si="4"/>
        <v>BP827</v>
      </c>
      <c r="E67" s="1" t="s">
        <v>86</v>
      </c>
      <c r="F67" t="s">
        <v>125</v>
      </c>
      <c r="G67">
        <f t="shared" ref="G67:G93" si="5">C67</f>
        <v>0</v>
      </c>
    </row>
    <row r="68" spans="1:7" x14ac:dyDescent="0.25">
      <c r="A68" s="1" t="s">
        <v>59</v>
      </c>
      <c r="D68" t="str">
        <f t="shared" si="4"/>
        <v>BP828</v>
      </c>
      <c r="E68" s="1" t="s">
        <v>86</v>
      </c>
      <c r="F68" t="s">
        <v>126</v>
      </c>
      <c r="G68">
        <f t="shared" si="5"/>
        <v>0</v>
      </c>
    </row>
    <row r="69" spans="1:7" x14ac:dyDescent="0.25">
      <c r="A69" s="1" t="s">
        <v>60</v>
      </c>
      <c r="D69" t="str">
        <f t="shared" si="4"/>
        <v>BP970G</v>
      </c>
      <c r="E69" s="1" t="s">
        <v>87</v>
      </c>
      <c r="F69" t="s">
        <v>127</v>
      </c>
      <c r="G69">
        <f t="shared" si="5"/>
        <v>0</v>
      </c>
    </row>
    <row r="70" spans="1:7" x14ac:dyDescent="0.25">
      <c r="A70" s="1" t="s">
        <v>63</v>
      </c>
      <c r="D70" t="str">
        <f t="shared" si="4"/>
        <v>CGRD54</v>
      </c>
      <c r="E70" s="1" t="s">
        <v>87</v>
      </c>
      <c r="F70" t="s">
        <v>128</v>
      </c>
      <c r="G70">
        <f t="shared" si="5"/>
        <v>0</v>
      </c>
    </row>
    <row r="71" spans="1:7" x14ac:dyDescent="0.25">
      <c r="A71" s="1" t="s">
        <v>67</v>
      </c>
      <c r="D71" t="str">
        <f t="shared" si="4"/>
        <v>ENEL12</v>
      </c>
      <c r="E71" s="1" t="s">
        <v>85</v>
      </c>
      <c r="F71" t="s">
        <v>129</v>
      </c>
      <c r="G71">
        <f t="shared" si="5"/>
        <v>0</v>
      </c>
    </row>
    <row r="72" spans="1:7" x14ac:dyDescent="0.25">
      <c r="A72" s="1" t="s">
        <v>68</v>
      </c>
      <c r="D72" t="str">
        <f t="shared" si="4"/>
        <v>ENEL14</v>
      </c>
      <c r="E72" s="1" t="s">
        <v>85</v>
      </c>
      <c r="F72" t="s">
        <v>130</v>
      </c>
      <c r="G72">
        <f t="shared" si="5"/>
        <v>0</v>
      </c>
    </row>
    <row r="73" spans="1:7" x14ac:dyDescent="0.25">
      <c r="A73" s="1" t="s">
        <v>69</v>
      </c>
      <c r="D73" t="str">
        <f t="shared" ref="D73:D93" si="6">RIGHT(A73, LEN(A73)-2)</f>
        <v>ENEL15</v>
      </c>
      <c r="E73" s="1" t="s">
        <v>85</v>
      </c>
      <c r="F73" t="s">
        <v>131</v>
      </c>
      <c r="G73">
        <f t="shared" si="5"/>
        <v>0</v>
      </c>
    </row>
    <row r="74" spans="1:7" x14ac:dyDescent="0.25">
      <c r="A74" s="1" t="s">
        <v>70</v>
      </c>
      <c r="D74" t="str">
        <f t="shared" si="6"/>
        <v>ENEL19</v>
      </c>
      <c r="E74" s="1" t="s">
        <v>85</v>
      </c>
      <c r="F74" t="s">
        <v>132</v>
      </c>
      <c r="G74">
        <f t="shared" si="5"/>
        <v>0</v>
      </c>
    </row>
    <row r="75" spans="1:7" x14ac:dyDescent="0.25">
      <c r="A75" s="1" t="s">
        <v>71</v>
      </c>
      <c r="D75" t="str">
        <f t="shared" si="6"/>
        <v>ENEL20</v>
      </c>
      <c r="E75" s="1" t="s">
        <v>85</v>
      </c>
      <c r="F75" t="s">
        <v>133</v>
      </c>
      <c r="G75">
        <f t="shared" si="5"/>
        <v>0</v>
      </c>
    </row>
    <row r="76" spans="1:7" x14ac:dyDescent="0.25">
      <c r="A76" s="1" t="s">
        <v>72</v>
      </c>
      <c r="D76" t="str">
        <f t="shared" si="6"/>
        <v>ENEL21</v>
      </c>
      <c r="E76" s="1" t="s">
        <v>85</v>
      </c>
      <c r="F76" t="s">
        <v>134</v>
      </c>
      <c r="G76">
        <f t="shared" si="5"/>
        <v>0</v>
      </c>
    </row>
    <row r="77" spans="1:7" x14ac:dyDescent="0.25">
      <c r="A77" s="1" t="s">
        <v>95</v>
      </c>
      <c r="D77" t="str">
        <f t="shared" si="6"/>
        <v>ENEL22</v>
      </c>
      <c r="E77" s="1" t="s">
        <v>85</v>
      </c>
      <c r="F77" t="s">
        <v>135</v>
      </c>
      <c r="G77">
        <f t="shared" si="5"/>
        <v>0</v>
      </c>
    </row>
    <row r="78" spans="1:7" x14ac:dyDescent="0.25">
      <c r="A78" s="4" t="s">
        <v>64</v>
      </c>
      <c r="D78" t="str">
        <f t="shared" si="6"/>
        <v>ENEL3E</v>
      </c>
      <c r="E78" s="4" t="s">
        <v>85</v>
      </c>
      <c r="F78" t="s">
        <v>136</v>
      </c>
      <c r="G78">
        <f t="shared" si="5"/>
        <v>0</v>
      </c>
    </row>
    <row r="79" spans="1:7" x14ac:dyDescent="0.25">
      <c r="A79" s="1" t="s">
        <v>65</v>
      </c>
      <c r="D79" t="str">
        <f t="shared" si="6"/>
        <v>ENEL5</v>
      </c>
      <c r="E79" s="1" t="s">
        <v>85</v>
      </c>
      <c r="F79" t="s">
        <v>137</v>
      </c>
      <c r="G79">
        <f t="shared" si="5"/>
        <v>0</v>
      </c>
    </row>
    <row r="80" spans="1:7" x14ac:dyDescent="0.25">
      <c r="A80" s="1" t="s">
        <v>66</v>
      </c>
      <c r="D80" t="str">
        <f t="shared" si="6"/>
        <v>ENEL8</v>
      </c>
      <c r="E80" s="1" t="s">
        <v>85</v>
      </c>
      <c r="F80" t="s">
        <v>66</v>
      </c>
      <c r="G80">
        <f t="shared" si="5"/>
        <v>0</v>
      </c>
    </row>
    <row r="81" spans="1:7" x14ac:dyDescent="0.25">
      <c r="A81" s="1" t="s">
        <v>96</v>
      </c>
      <c r="D81" t="str">
        <f t="shared" si="6"/>
        <v>ENEL9</v>
      </c>
      <c r="E81" s="1" t="s">
        <v>85</v>
      </c>
      <c r="F81" t="s">
        <v>96</v>
      </c>
      <c r="G81">
        <f t="shared" si="5"/>
        <v>0</v>
      </c>
    </row>
    <row r="82" spans="1:7" x14ac:dyDescent="0.25">
      <c r="A82" s="3" t="s">
        <v>73</v>
      </c>
      <c r="D82" t="str">
        <f t="shared" si="6"/>
        <v>GPH3</v>
      </c>
      <c r="E82" s="1" t="s">
        <v>85</v>
      </c>
      <c r="F82" t="s">
        <v>73</v>
      </c>
      <c r="G82">
        <f t="shared" si="5"/>
        <v>0</v>
      </c>
    </row>
    <row r="83" spans="1:7" x14ac:dyDescent="0.25">
      <c r="A83" s="1" t="s">
        <v>79</v>
      </c>
      <c r="D83" t="str">
        <f t="shared" si="6"/>
        <v>LI109</v>
      </c>
      <c r="E83" s="1" t="s">
        <v>85</v>
      </c>
      <c r="F83" t="s">
        <v>79</v>
      </c>
      <c r="G83">
        <f t="shared" si="5"/>
        <v>0</v>
      </c>
    </row>
    <row r="84" spans="1:7" x14ac:dyDescent="0.25">
      <c r="A84" s="1" t="s">
        <v>74</v>
      </c>
      <c r="D84" t="str">
        <f t="shared" si="6"/>
        <v>LI42B</v>
      </c>
      <c r="E84" s="1" t="s">
        <v>85</v>
      </c>
      <c r="F84" t="s">
        <v>74</v>
      </c>
      <c r="G84">
        <f t="shared" si="5"/>
        <v>0</v>
      </c>
    </row>
    <row r="85" spans="1:7" x14ac:dyDescent="0.25">
      <c r="A85" s="1" t="s">
        <v>75</v>
      </c>
      <c r="D85" t="str">
        <f t="shared" si="6"/>
        <v>LI50B</v>
      </c>
      <c r="E85" s="1" t="s">
        <v>85</v>
      </c>
      <c r="F85" t="s">
        <v>75</v>
      </c>
      <c r="G85">
        <f t="shared" si="5"/>
        <v>0</v>
      </c>
    </row>
    <row r="86" spans="1:7" x14ac:dyDescent="0.25">
      <c r="A86" s="1" t="s">
        <v>76</v>
      </c>
      <c r="D86" t="str">
        <f t="shared" si="6"/>
        <v>LI70B</v>
      </c>
      <c r="E86" s="1" t="s">
        <v>85</v>
      </c>
      <c r="F86" t="s">
        <v>76</v>
      </c>
      <c r="G86">
        <f t="shared" si="5"/>
        <v>0</v>
      </c>
    </row>
    <row r="87" spans="1:7" x14ac:dyDescent="0.25">
      <c r="A87" s="1" t="s">
        <v>77</v>
      </c>
      <c r="D87" t="str">
        <f t="shared" si="6"/>
        <v>LI90</v>
      </c>
      <c r="E87" s="1" t="s">
        <v>85</v>
      </c>
      <c r="F87" t="s">
        <v>77</v>
      </c>
      <c r="G87">
        <f t="shared" si="5"/>
        <v>0</v>
      </c>
    </row>
    <row r="88" spans="1:7" x14ac:dyDescent="0.25">
      <c r="A88" s="1" t="s">
        <v>78</v>
      </c>
      <c r="D88" t="str">
        <f t="shared" si="6"/>
        <v>LI90B</v>
      </c>
      <c r="E88" s="1" t="s">
        <v>85</v>
      </c>
      <c r="F88" t="s">
        <v>78</v>
      </c>
      <c r="G88">
        <f t="shared" si="5"/>
        <v>0</v>
      </c>
    </row>
    <row r="89" spans="1:7" x14ac:dyDescent="0.25">
      <c r="A89" s="1" t="s">
        <v>82</v>
      </c>
      <c r="D89" t="str">
        <f t="shared" si="6"/>
        <v>LPE10</v>
      </c>
      <c r="E89" s="1" t="s">
        <v>85</v>
      </c>
      <c r="F89" t="s">
        <v>82</v>
      </c>
      <c r="G89">
        <f t="shared" si="5"/>
        <v>0</v>
      </c>
    </row>
    <row r="90" spans="1:7" x14ac:dyDescent="0.25">
      <c r="A90" s="1" t="s">
        <v>83</v>
      </c>
      <c r="D90" t="str">
        <f t="shared" si="6"/>
        <v>LPE12</v>
      </c>
      <c r="E90" s="1" t="s">
        <v>85</v>
      </c>
      <c r="F90" t="s">
        <v>83</v>
      </c>
      <c r="G90">
        <f t="shared" si="5"/>
        <v>0</v>
      </c>
    </row>
    <row r="91" spans="1:7" x14ac:dyDescent="0.25">
      <c r="A91" s="4" t="s">
        <v>93</v>
      </c>
      <c r="D91" t="str">
        <f t="shared" si="6"/>
        <v>LPE5</v>
      </c>
      <c r="E91" s="4" t="s">
        <v>85</v>
      </c>
      <c r="F91" t="s">
        <v>93</v>
      </c>
      <c r="G91">
        <f t="shared" si="5"/>
        <v>0</v>
      </c>
    </row>
    <row r="92" spans="1:7" x14ac:dyDescent="0.25">
      <c r="A92" s="1" t="s">
        <v>80</v>
      </c>
      <c r="D92" t="str">
        <f t="shared" si="6"/>
        <v>LPE6</v>
      </c>
      <c r="E92" s="1" t="s">
        <v>85</v>
      </c>
      <c r="F92" t="s">
        <v>80</v>
      </c>
      <c r="G92">
        <f t="shared" si="5"/>
        <v>0</v>
      </c>
    </row>
    <row r="93" spans="1:7" x14ac:dyDescent="0.25">
      <c r="A93" s="1" t="s">
        <v>81</v>
      </c>
      <c r="D93" t="str">
        <f t="shared" si="6"/>
        <v>LPE8</v>
      </c>
      <c r="E93" s="1" t="s">
        <v>85</v>
      </c>
      <c r="F93" t="s">
        <v>81</v>
      </c>
      <c r="G93">
        <f t="shared" si="5"/>
        <v>0</v>
      </c>
    </row>
    <row r="94" spans="1:7" x14ac:dyDescent="0.25">
      <c r="A94" s="1"/>
      <c r="E94" s="1"/>
    </row>
    <row r="95" spans="1:7" x14ac:dyDescent="0.25">
      <c r="A95" s="1"/>
      <c r="E95" s="1"/>
    </row>
    <row r="96" spans="1:7" x14ac:dyDescent="0.25">
      <c r="A96" s="1"/>
      <c r="E96" s="1"/>
    </row>
  </sheetData>
  <sortState ref="A2:B96">
    <sortCondition ref="A2:A96"/>
  </sortState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3"/>
  <sheetViews>
    <sheetView tabSelected="1" workbookViewId="0">
      <selection activeCell="F2" sqref="F2"/>
    </sheetView>
  </sheetViews>
  <sheetFormatPr defaultRowHeight="15" x14ac:dyDescent="0.25"/>
  <cols>
    <col min="1" max="1" width="12.7109375" style="9" bestFit="1" customWidth="1"/>
    <col min="2" max="2" width="15.42578125" style="10" bestFit="1" customWidth="1"/>
    <col min="3" max="3" width="15.28515625" style="15" bestFit="1" customWidth="1"/>
    <col min="4" max="4" width="14.7109375" style="7" bestFit="1" customWidth="1"/>
    <col min="5" max="5" width="12.42578125" bestFit="1" customWidth="1"/>
    <col min="6" max="6" width="19.140625" style="16" bestFit="1" customWidth="1"/>
    <col min="7" max="7" width="17" style="16" bestFit="1" customWidth="1"/>
    <col min="8" max="8" width="12.140625" style="16" bestFit="1" customWidth="1"/>
    <col min="9" max="9" width="10.5703125" bestFit="1" customWidth="1"/>
  </cols>
  <sheetData>
    <row r="1" spans="1:8" s="14" customFormat="1" ht="18.75" x14ac:dyDescent="0.3">
      <c r="A1" s="11" t="s">
        <v>159</v>
      </c>
      <c r="B1" s="12" t="s">
        <v>98</v>
      </c>
      <c r="C1" s="17" t="s">
        <v>160</v>
      </c>
      <c r="D1" s="13" t="s">
        <v>158</v>
      </c>
      <c r="E1" s="14" t="s">
        <v>157</v>
      </c>
      <c r="F1" s="18" t="s">
        <v>161</v>
      </c>
      <c r="G1" s="18"/>
      <c r="H1" s="18"/>
    </row>
    <row r="2" spans="1:8" x14ac:dyDescent="0.25">
      <c r="A2" s="8" t="s">
        <v>99</v>
      </c>
      <c r="B2" s="10" t="str">
        <f>RIGHT(A2, LEN(A2)-2)</f>
        <v>BCF10</v>
      </c>
      <c r="C2" s="15" t="str">
        <f>"XTCH"&amp;B2</f>
        <v>XTCHBCF10</v>
      </c>
      <c r="D2" s="7" t="s">
        <v>90</v>
      </c>
      <c r="F2" s="16" t="s">
        <v>141</v>
      </c>
    </row>
    <row r="3" spans="1:8" x14ac:dyDescent="0.25">
      <c r="A3" s="8" t="s">
        <v>100</v>
      </c>
      <c r="B3" s="10" t="str">
        <f t="shared" ref="B3:B66" si="0">RIGHT(A3, LEN(A3)-2)</f>
        <v>BP1130</v>
      </c>
      <c r="C3" s="15" t="str">
        <f t="shared" ref="C3:C66" si="1">"XTCH"&amp;B3</f>
        <v>XTCHBP1130</v>
      </c>
      <c r="D3" s="7" t="s">
        <v>91</v>
      </c>
    </row>
    <row r="4" spans="1:8" x14ac:dyDescent="0.25">
      <c r="A4" s="8" t="s">
        <v>101</v>
      </c>
      <c r="B4" s="10" t="str">
        <f t="shared" si="0"/>
        <v>ENEL23</v>
      </c>
      <c r="C4" s="15" t="str">
        <f t="shared" si="1"/>
        <v>XTCHENEL23</v>
      </c>
      <c r="D4" s="7" t="s">
        <v>89</v>
      </c>
    </row>
    <row r="5" spans="1:8" x14ac:dyDescent="0.25">
      <c r="A5" s="9" t="s">
        <v>102</v>
      </c>
      <c r="B5" s="10" t="str">
        <f t="shared" si="0"/>
        <v>NB10L</v>
      </c>
      <c r="C5" s="15" t="str">
        <f t="shared" si="1"/>
        <v>XTCHNB10L</v>
      </c>
      <c r="D5" s="7" t="s">
        <v>27</v>
      </c>
    </row>
    <row r="6" spans="1:8" x14ac:dyDescent="0.25">
      <c r="A6" s="9" t="s">
        <v>103</v>
      </c>
      <c r="B6" s="10" t="str">
        <f t="shared" si="0"/>
        <v>NB11L</v>
      </c>
      <c r="C6" s="15" t="str">
        <f t="shared" si="1"/>
        <v>XTCHNB11L</v>
      </c>
      <c r="D6" s="7" t="s">
        <v>26</v>
      </c>
    </row>
    <row r="7" spans="1:8" x14ac:dyDescent="0.25">
      <c r="A7" s="9" t="s">
        <v>104</v>
      </c>
      <c r="B7" s="10" t="str">
        <f t="shared" si="0"/>
        <v>NB2LH</v>
      </c>
      <c r="C7" s="15" t="str">
        <f t="shared" si="1"/>
        <v>XTCHNB2LH</v>
      </c>
      <c r="D7" s="7" t="s">
        <v>18</v>
      </c>
    </row>
    <row r="8" spans="1:8" x14ac:dyDescent="0.25">
      <c r="A8" s="9" t="s">
        <v>105</v>
      </c>
      <c r="B8" s="10" t="str">
        <f t="shared" si="0"/>
        <v>NB4L</v>
      </c>
      <c r="C8" s="15" t="str">
        <f t="shared" si="1"/>
        <v>XTCHNB4L</v>
      </c>
      <c r="D8" s="7" t="s">
        <v>32</v>
      </c>
    </row>
    <row r="9" spans="1:8" x14ac:dyDescent="0.25">
      <c r="A9" s="9" t="s">
        <v>106</v>
      </c>
      <c r="B9" s="10" t="str">
        <f t="shared" si="0"/>
        <v>NB5L</v>
      </c>
      <c r="C9" s="15" t="str">
        <f t="shared" si="1"/>
        <v>XTCHNB5L</v>
      </c>
      <c r="D9" s="7" t="s">
        <v>31</v>
      </c>
    </row>
    <row r="10" spans="1:8" x14ac:dyDescent="0.25">
      <c r="A10" s="9" t="s">
        <v>107</v>
      </c>
      <c r="B10" s="10" t="str">
        <f t="shared" si="0"/>
        <v>NB6L</v>
      </c>
      <c r="C10" s="15" t="str">
        <f t="shared" si="1"/>
        <v>XTCHNB6L</v>
      </c>
      <c r="D10" s="7" t="s">
        <v>30</v>
      </c>
    </row>
    <row r="11" spans="1:8" x14ac:dyDescent="0.25">
      <c r="A11" s="9" t="s">
        <v>108</v>
      </c>
      <c r="B11" s="10" t="str">
        <f t="shared" si="0"/>
        <v>NB7L</v>
      </c>
      <c r="C11" s="15" t="str">
        <f t="shared" si="1"/>
        <v>XTCHNB7L</v>
      </c>
      <c r="D11" s="7" t="s">
        <v>29</v>
      </c>
    </row>
    <row r="12" spans="1:8" x14ac:dyDescent="0.25">
      <c r="A12" s="9" t="s">
        <v>109</v>
      </c>
      <c r="B12" s="10" t="str">
        <f t="shared" si="0"/>
        <v>NB8L</v>
      </c>
      <c r="C12" s="15" t="str">
        <f t="shared" si="1"/>
        <v>XTCHNB8L</v>
      </c>
      <c r="D12" s="7" t="s">
        <v>92</v>
      </c>
    </row>
    <row r="13" spans="1:8" x14ac:dyDescent="0.25">
      <c r="A13" s="9" t="s">
        <v>110</v>
      </c>
      <c r="B13" s="10" t="str">
        <f t="shared" si="0"/>
        <v>NB9L</v>
      </c>
      <c r="C13" s="15" t="str">
        <f t="shared" si="1"/>
        <v>XTCHNB9L</v>
      </c>
      <c r="D13" s="7" t="s">
        <v>28</v>
      </c>
    </row>
    <row r="14" spans="1:8" x14ac:dyDescent="0.25">
      <c r="A14" s="9" t="s">
        <v>111</v>
      </c>
      <c r="B14" s="10" t="str">
        <f t="shared" si="0"/>
        <v>NP45</v>
      </c>
      <c r="C14" s="15" t="str">
        <f t="shared" si="1"/>
        <v>XTCHNP45</v>
      </c>
      <c r="D14" s="7" t="s">
        <v>25</v>
      </c>
    </row>
    <row r="15" spans="1:8" x14ac:dyDescent="0.25">
      <c r="A15" s="9" t="s">
        <v>112</v>
      </c>
      <c r="B15" s="10" t="str">
        <f t="shared" si="0"/>
        <v>NP48</v>
      </c>
      <c r="C15" s="15" t="str">
        <f t="shared" si="1"/>
        <v>XTCHNP48</v>
      </c>
      <c r="D15" s="7" t="s">
        <v>88</v>
      </c>
    </row>
    <row r="16" spans="1:8" x14ac:dyDescent="0.25">
      <c r="A16" s="9" t="s">
        <v>113</v>
      </c>
      <c r="B16" s="10" t="str">
        <f t="shared" si="0"/>
        <v>NP50</v>
      </c>
      <c r="C16" s="15" t="str">
        <f t="shared" si="1"/>
        <v>XTCHNP50</v>
      </c>
      <c r="D16" s="7" t="s">
        <v>24</v>
      </c>
    </row>
    <row r="17" spans="1:4" x14ac:dyDescent="0.25">
      <c r="A17" s="9" t="s">
        <v>114</v>
      </c>
      <c r="B17" s="10" t="str">
        <f t="shared" si="0"/>
        <v>NP85</v>
      </c>
      <c r="C17" s="15" t="str">
        <f t="shared" si="1"/>
        <v>XTCHNP85</v>
      </c>
      <c r="D17" s="7" t="s">
        <v>23</v>
      </c>
    </row>
    <row r="18" spans="1:4" x14ac:dyDescent="0.25">
      <c r="A18" s="9" t="s">
        <v>115</v>
      </c>
      <c r="B18" s="10" t="str">
        <f t="shared" si="0"/>
        <v>NP95</v>
      </c>
      <c r="C18" s="15" t="str">
        <f t="shared" si="1"/>
        <v>XTCHNP95</v>
      </c>
      <c r="D18" s="7" t="s">
        <v>22</v>
      </c>
    </row>
    <row r="19" spans="1:4" x14ac:dyDescent="0.25">
      <c r="A19" s="9" t="s">
        <v>116</v>
      </c>
      <c r="B19" s="10" t="str">
        <f t="shared" si="0"/>
        <v>NPBG1</v>
      </c>
      <c r="C19" s="15" t="str">
        <f t="shared" si="1"/>
        <v>XTCHNPBG1</v>
      </c>
      <c r="D19" s="7" t="s">
        <v>2</v>
      </c>
    </row>
    <row r="20" spans="1:4" x14ac:dyDescent="0.25">
      <c r="A20" s="9" t="s">
        <v>117</v>
      </c>
      <c r="B20" s="10" t="str">
        <f t="shared" si="0"/>
        <v>NPBN1</v>
      </c>
      <c r="C20" s="15" t="str">
        <f t="shared" si="1"/>
        <v>XTCHNPBN1</v>
      </c>
      <c r="D20" s="7" t="s">
        <v>20</v>
      </c>
    </row>
    <row r="21" spans="1:4" x14ac:dyDescent="0.25">
      <c r="A21" s="9" t="s">
        <v>118</v>
      </c>
      <c r="B21" s="10" t="str">
        <f t="shared" si="0"/>
        <v>NPBX1</v>
      </c>
      <c r="C21" s="15" t="str">
        <f t="shared" si="1"/>
        <v>XTCHNPBX1</v>
      </c>
      <c r="D21" s="7" t="s">
        <v>19</v>
      </c>
    </row>
    <row r="22" spans="1:4" x14ac:dyDescent="0.25">
      <c r="A22" s="9" t="s">
        <v>119</v>
      </c>
      <c r="B22" s="10" t="str">
        <f t="shared" si="0"/>
        <v>NPF975</v>
      </c>
      <c r="C22" s="15" t="str">
        <f t="shared" si="1"/>
        <v>XTCHNPF975</v>
      </c>
      <c r="D22" s="7" t="s">
        <v>0</v>
      </c>
    </row>
    <row r="23" spans="1:4" x14ac:dyDescent="0.25">
      <c r="A23" s="9" t="s">
        <v>120</v>
      </c>
      <c r="B23" s="10" t="str">
        <f t="shared" si="0"/>
        <v>NPFH50</v>
      </c>
      <c r="C23" s="15" t="str">
        <f t="shared" si="1"/>
        <v>XTCHNPFH50</v>
      </c>
      <c r="D23" s="7" t="s">
        <v>21</v>
      </c>
    </row>
    <row r="24" spans="1:4" x14ac:dyDescent="0.25">
      <c r="A24" s="9" t="s">
        <v>121</v>
      </c>
      <c r="B24" s="10" t="str">
        <f t="shared" si="0"/>
        <v>NPFM500H</v>
      </c>
      <c r="C24" s="15" t="str">
        <f t="shared" si="1"/>
        <v>XTCHNPFM500H</v>
      </c>
      <c r="D24" s="7" t="s">
        <v>1</v>
      </c>
    </row>
    <row r="25" spans="1:4" x14ac:dyDescent="0.25">
      <c r="A25" s="9" t="s">
        <v>122</v>
      </c>
      <c r="B25" s="10" t="str">
        <f t="shared" si="0"/>
        <v>NPFV100</v>
      </c>
      <c r="C25" s="15" t="str">
        <f t="shared" si="1"/>
        <v>XTCHNPFV100</v>
      </c>
      <c r="D25" s="7" t="s">
        <v>15</v>
      </c>
    </row>
    <row r="26" spans="1:4" x14ac:dyDescent="0.25">
      <c r="A26" s="9" t="s">
        <v>123</v>
      </c>
      <c r="B26" s="10" t="str">
        <f t="shared" si="0"/>
        <v>NPFV50</v>
      </c>
      <c r="C26" s="15" t="str">
        <f t="shared" si="1"/>
        <v>XTCHNPFV50</v>
      </c>
      <c r="D26" s="7" t="s">
        <v>3</v>
      </c>
    </row>
    <row r="27" spans="1:4" x14ac:dyDescent="0.25">
      <c r="A27" s="9" t="s">
        <v>124</v>
      </c>
      <c r="B27" s="10" t="str">
        <f t="shared" si="0"/>
        <v>NPFV70</v>
      </c>
      <c r="C27" s="15" t="str">
        <f t="shared" si="1"/>
        <v>XTCHNPFV70</v>
      </c>
      <c r="D27" s="7" t="s">
        <v>17</v>
      </c>
    </row>
    <row r="28" spans="1:4" x14ac:dyDescent="0.25">
      <c r="A28" s="9" t="s">
        <v>125</v>
      </c>
      <c r="B28" s="10" t="str">
        <f t="shared" si="0"/>
        <v>NPFW50</v>
      </c>
      <c r="C28" s="15" t="str">
        <f t="shared" si="1"/>
        <v>XTCHNPFW50</v>
      </c>
      <c r="D28" s="7" t="s">
        <v>16</v>
      </c>
    </row>
    <row r="29" spans="1:4" x14ac:dyDescent="0.25">
      <c r="A29" s="9" t="s">
        <v>126</v>
      </c>
      <c r="B29" s="10" t="str">
        <f t="shared" si="0"/>
        <v>NPW126</v>
      </c>
      <c r="C29" s="15" t="str">
        <f t="shared" si="1"/>
        <v>XTCHNPW126</v>
      </c>
      <c r="D29" s="7" t="s">
        <v>14</v>
      </c>
    </row>
    <row r="30" spans="1:4" x14ac:dyDescent="0.25">
      <c r="A30" s="9" t="s">
        <v>127</v>
      </c>
      <c r="B30" s="10" t="str">
        <f t="shared" si="0"/>
        <v>SLB10A</v>
      </c>
      <c r="C30" s="15" t="str">
        <f t="shared" si="1"/>
        <v>XTCHSLB10A</v>
      </c>
      <c r="D30" s="7" t="s">
        <v>33</v>
      </c>
    </row>
    <row r="31" spans="1:4" x14ac:dyDescent="0.25">
      <c r="A31" s="9" t="s">
        <v>128</v>
      </c>
      <c r="B31" s="10" t="str">
        <f t="shared" si="0"/>
        <v>VBG260</v>
      </c>
      <c r="C31" s="15" t="str">
        <f t="shared" si="1"/>
        <v>XTCHVBG260</v>
      </c>
      <c r="D31" s="7" t="s">
        <v>13</v>
      </c>
    </row>
    <row r="32" spans="1:4" x14ac:dyDescent="0.25">
      <c r="A32" s="9" t="s">
        <v>129</v>
      </c>
      <c r="B32" s="10" t="str">
        <f t="shared" si="0"/>
        <v>VBG6</v>
      </c>
      <c r="C32" s="15" t="str">
        <f t="shared" si="1"/>
        <v>XTCHVBG6</v>
      </c>
      <c r="D32" s="7" t="s">
        <v>12</v>
      </c>
    </row>
    <row r="33" spans="1:4" x14ac:dyDescent="0.25">
      <c r="A33" s="9" t="s">
        <v>130</v>
      </c>
      <c r="B33" s="10" t="str">
        <f t="shared" si="0"/>
        <v>VBK180</v>
      </c>
      <c r="C33" s="15" t="str">
        <f t="shared" si="1"/>
        <v>XTCHVBK180</v>
      </c>
      <c r="D33" s="7" t="s">
        <v>10</v>
      </c>
    </row>
    <row r="34" spans="1:4" x14ac:dyDescent="0.25">
      <c r="A34" s="9" t="s">
        <v>131</v>
      </c>
      <c r="B34" s="10" t="str">
        <f t="shared" si="0"/>
        <v>VBK360</v>
      </c>
      <c r="C34" s="15" t="str">
        <f t="shared" si="1"/>
        <v>XTCHVBK360</v>
      </c>
      <c r="D34" s="7" t="s">
        <v>11</v>
      </c>
    </row>
    <row r="35" spans="1:4" x14ac:dyDescent="0.25">
      <c r="A35" s="9" t="s">
        <v>132</v>
      </c>
      <c r="B35" s="10" t="str">
        <f t="shared" si="0"/>
        <v>VBN130</v>
      </c>
      <c r="C35" s="15" t="str">
        <f t="shared" si="1"/>
        <v>XTCHVBN130</v>
      </c>
      <c r="D35" s="7" t="s">
        <v>9</v>
      </c>
    </row>
    <row r="36" spans="1:4" x14ac:dyDescent="0.25">
      <c r="A36" s="9" t="s">
        <v>133</v>
      </c>
      <c r="B36" s="10" t="str">
        <f t="shared" si="0"/>
        <v>VBN260</v>
      </c>
      <c r="C36" s="15" t="str">
        <f t="shared" si="1"/>
        <v>XTCHVBN260</v>
      </c>
      <c r="D36" s="7" t="s">
        <v>8</v>
      </c>
    </row>
    <row r="37" spans="1:4" x14ac:dyDescent="0.25">
      <c r="A37" s="9" t="s">
        <v>134</v>
      </c>
      <c r="B37" s="10" t="str">
        <f t="shared" si="0"/>
        <v>VF815</v>
      </c>
      <c r="C37" s="15" t="str">
        <f t="shared" si="1"/>
        <v>XTCHVF815</v>
      </c>
      <c r="D37" s="7" t="s">
        <v>7</v>
      </c>
    </row>
    <row r="38" spans="1:4" x14ac:dyDescent="0.25">
      <c r="A38" s="9" t="s">
        <v>135</v>
      </c>
      <c r="B38" s="10" t="str">
        <f t="shared" si="0"/>
        <v>VF823</v>
      </c>
      <c r="C38" s="15" t="str">
        <f t="shared" si="1"/>
        <v>XTCHVF823</v>
      </c>
      <c r="D38" s="7" t="s">
        <v>6</v>
      </c>
    </row>
    <row r="39" spans="1:4" x14ac:dyDescent="0.25">
      <c r="A39" s="9" t="s">
        <v>136</v>
      </c>
      <c r="B39" s="10" t="str">
        <f t="shared" si="0"/>
        <v>VG121</v>
      </c>
      <c r="C39" s="15" t="str">
        <f t="shared" si="1"/>
        <v>XTCHVG121</v>
      </c>
      <c r="D39" s="7" t="s">
        <v>5</v>
      </c>
    </row>
    <row r="40" spans="1:4" x14ac:dyDescent="0.25">
      <c r="A40" s="9" t="s">
        <v>137</v>
      </c>
      <c r="B40" s="10" t="str">
        <f t="shared" si="0"/>
        <v>VG138</v>
      </c>
      <c r="C40" s="15" t="str">
        <f t="shared" si="1"/>
        <v>XTCHVG138</v>
      </c>
      <c r="D40" s="7" t="s">
        <v>4</v>
      </c>
    </row>
    <row r="41" spans="1:4" x14ac:dyDescent="0.25">
      <c r="A41" s="9" t="s">
        <v>99</v>
      </c>
      <c r="B41" s="10" t="str">
        <f t="shared" si="0"/>
        <v>BCF10</v>
      </c>
      <c r="C41" s="15" t="str">
        <f t="shared" si="1"/>
        <v>XTCHBCF10</v>
      </c>
      <c r="D41" s="7" t="s">
        <v>90</v>
      </c>
    </row>
    <row r="42" spans="1:4" x14ac:dyDescent="0.25">
      <c r="A42" s="9" t="s">
        <v>100</v>
      </c>
      <c r="B42" s="10" t="str">
        <f t="shared" si="0"/>
        <v>BP1130</v>
      </c>
      <c r="C42" s="15" t="str">
        <f t="shared" si="1"/>
        <v>XTCHBP1130</v>
      </c>
      <c r="D42" s="7" t="s">
        <v>91</v>
      </c>
    </row>
    <row r="43" spans="1:4" x14ac:dyDescent="0.25">
      <c r="A43" s="9" t="s">
        <v>101</v>
      </c>
      <c r="B43" s="10" t="str">
        <f t="shared" si="0"/>
        <v>ENEL23</v>
      </c>
      <c r="C43" s="15" t="str">
        <f t="shared" si="1"/>
        <v>XTCHENEL23</v>
      </c>
      <c r="D43" s="7" t="s">
        <v>89</v>
      </c>
    </row>
    <row r="44" spans="1:4" x14ac:dyDescent="0.25">
      <c r="A44" s="9" t="s">
        <v>102</v>
      </c>
      <c r="B44" s="10" t="str">
        <f t="shared" si="0"/>
        <v>NB10L</v>
      </c>
      <c r="C44" s="15" t="str">
        <f t="shared" si="1"/>
        <v>XTCHNB10L</v>
      </c>
      <c r="D44" s="7" t="s">
        <v>27</v>
      </c>
    </row>
    <row r="45" spans="1:4" x14ac:dyDescent="0.25">
      <c r="A45" s="9" t="s">
        <v>103</v>
      </c>
      <c r="B45" s="10" t="str">
        <f t="shared" si="0"/>
        <v>NB11L</v>
      </c>
      <c r="C45" s="15" t="str">
        <f t="shared" si="1"/>
        <v>XTCHNB11L</v>
      </c>
      <c r="D45" s="7" t="s">
        <v>26</v>
      </c>
    </row>
    <row r="46" spans="1:4" x14ac:dyDescent="0.25">
      <c r="A46" s="9" t="s">
        <v>104</v>
      </c>
      <c r="B46" s="10" t="str">
        <f t="shared" si="0"/>
        <v>NB2LH</v>
      </c>
      <c r="C46" s="15" t="str">
        <f t="shared" si="1"/>
        <v>XTCHNB2LH</v>
      </c>
      <c r="D46" s="7" t="s">
        <v>18</v>
      </c>
    </row>
    <row r="47" spans="1:4" x14ac:dyDescent="0.25">
      <c r="A47" s="9" t="s">
        <v>105</v>
      </c>
      <c r="B47" s="10" t="str">
        <f t="shared" si="0"/>
        <v>NB4L</v>
      </c>
      <c r="C47" s="15" t="str">
        <f t="shared" si="1"/>
        <v>XTCHNB4L</v>
      </c>
      <c r="D47" s="7" t="s">
        <v>32</v>
      </c>
    </row>
    <row r="48" spans="1:4" x14ac:dyDescent="0.25">
      <c r="A48" s="9" t="s">
        <v>106</v>
      </c>
      <c r="B48" s="10" t="str">
        <f t="shared" si="0"/>
        <v>NB5L</v>
      </c>
      <c r="C48" s="15" t="str">
        <f t="shared" si="1"/>
        <v>XTCHNB5L</v>
      </c>
      <c r="D48" s="7" t="s">
        <v>31</v>
      </c>
    </row>
    <row r="49" spans="1:4" x14ac:dyDescent="0.25">
      <c r="A49" s="9" t="s">
        <v>107</v>
      </c>
      <c r="B49" s="10" t="str">
        <f t="shared" si="0"/>
        <v>NB6L</v>
      </c>
      <c r="C49" s="15" t="str">
        <f t="shared" si="1"/>
        <v>XTCHNB6L</v>
      </c>
      <c r="D49" s="7" t="s">
        <v>30</v>
      </c>
    </row>
    <row r="50" spans="1:4" x14ac:dyDescent="0.25">
      <c r="A50" s="9" t="s">
        <v>108</v>
      </c>
      <c r="B50" s="10" t="str">
        <f t="shared" si="0"/>
        <v>NB7L</v>
      </c>
      <c r="C50" s="15" t="str">
        <f t="shared" si="1"/>
        <v>XTCHNB7L</v>
      </c>
      <c r="D50" s="7" t="s">
        <v>29</v>
      </c>
    </row>
    <row r="51" spans="1:4" x14ac:dyDescent="0.25">
      <c r="A51" s="9" t="s">
        <v>109</v>
      </c>
      <c r="B51" s="10" t="str">
        <f t="shared" si="0"/>
        <v>NB8L</v>
      </c>
      <c r="C51" s="15" t="str">
        <f t="shared" si="1"/>
        <v>XTCHNB8L</v>
      </c>
      <c r="D51" s="7" t="s">
        <v>92</v>
      </c>
    </row>
    <row r="52" spans="1:4" x14ac:dyDescent="0.25">
      <c r="A52" s="9" t="s">
        <v>110</v>
      </c>
      <c r="B52" s="10" t="str">
        <f t="shared" si="0"/>
        <v>NB9L</v>
      </c>
      <c r="C52" s="15" t="str">
        <f t="shared" si="1"/>
        <v>XTCHNB9L</v>
      </c>
      <c r="D52" s="7" t="s">
        <v>28</v>
      </c>
    </row>
    <row r="53" spans="1:4" x14ac:dyDescent="0.25">
      <c r="A53" s="9" t="s">
        <v>111</v>
      </c>
      <c r="B53" s="10" t="str">
        <f t="shared" si="0"/>
        <v>NP45</v>
      </c>
      <c r="C53" s="15" t="str">
        <f t="shared" si="1"/>
        <v>XTCHNP45</v>
      </c>
      <c r="D53" s="7" t="s">
        <v>25</v>
      </c>
    </row>
    <row r="54" spans="1:4" x14ac:dyDescent="0.25">
      <c r="A54" s="9" t="s">
        <v>112</v>
      </c>
      <c r="B54" s="10" t="str">
        <f t="shared" si="0"/>
        <v>NP48</v>
      </c>
      <c r="C54" s="15" t="str">
        <f t="shared" si="1"/>
        <v>XTCHNP48</v>
      </c>
      <c r="D54" s="7" t="s">
        <v>88</v>
      </c>
    </row>
    <row r="55" spans="1:4" x14ac:dyDescent="0.25">
      <c r="A55" s="9" t="s">
        <v>113</v>
      </c>
      <c r="B55" s="10" t="str">
        <f t="shared" si="0"/>
        <v>NP50</v>
      </c>
      <c r="C55" s="15" t="str">
        <f t="shared" si="1"/>
        <v>XTCHNP50</v>
      </c>
      <c r="D55" s="7" t="s">
        <v>24</v>
      </c>
    </row>
    <row r="56" spans="1:4" x14ac:dyDescent="0.25">
      <c r="A56" s="9" t="s">
        <v>114</v>
      </c>
      <c r="B56" s="10" t="str">
        <f t="shared" si="0"/>
        <v>NP85</v>
      </c>
      <c r="C56" s="15" t="str">
        <f t="shared" si="1"/>
        <v>XTCHNP85</v>
      </c>
      <c r="D56" s="7" t="s">
        <v>23</v>
      </c>
    </row>
    <row r="57" spans="1:4" x14ac:dyDescent="0.25">
      <c r="A57" s="9" t="s">
        <v>115</v>
      </c>
      <c r="B57" s="10" t="str">
        <f t="shared" si="0"/>
        <v>NP95</v>
      </c>
      <c r="C57" s="15" t="str">
        <f t="shared" si="1"/>
        <v>XTCHNP95</v>
      </c>
      <c r="D57" s="7" t="s">
        <v>22</v>
      </c>
    </row>
    <row r="58" spans="1:4" x14ac:dyDescent="0.25">
      <c r="A58" s="9" t="s">
        <v>116</v>
      </c>
      <c r="B58" s="10" t="str">
        <f t="shared" si="0"/>
        <v>NPBG1</v>
      </c>
      <c r="C58" s="15" t="str">
        <f t="shared" si="1"/>
        <v>XTCHNPBG1</v>
      </c>
      <c r="D58" s="7" t="s">
        <v>2</v>
      </c>
    </row>
    <row r="59" spans="1:4" x14ac:dyDescent="0.25">
      <c r="A59" s="9" t="s">
        <v>117</v>
      </c>
      <c r="B59" s="10" t="str">
        <f t="shared" si="0"/>
        <v>NPBN1</v>
      </c>
      <c r="C59" s="15" t="str">
        <f t="shared" si="1"/>
        <v>XTCHNPBN1</v>
      </c>
      <c r="D59" s="7" t="s">
        <v>20</v>
      </c>
    </row>
    <row r="60" spans="1:4" x14ac:dyDescent="0.25">
      <c r="A60" s="9" t="s">
        <v>118</v>
      </c>
      <c r="B60" s="10" t="str">
        <f t="shared" si="0"/>
        <v>NPBX1</v>
      </c>
      <c r="C60" s="15" t="str">
        <f t="shared" si="1"/>
        <v>XTCHNPBX1</v>
      </c>
      <c r="D60" s="7" t="s">
        <v>19</v>
      </c>
    </row>
    <row r="61" spans="1:4" x14ac:dyDescent="0.25">
      <c r="A61" s="9" t="s">
        <v>119</v>
      </c>
      <c r="B61" s="10" t="str">
        <f t="shared" si="0"/>
        <v>NPF975</v>
      </c>
      <c r="C61" s="15" t="str">
        <f t="shared" si="1"/>
        <v>XTCHNPF975</v>
      </c>
      <c r="D61" s="7" t="s">
        <v>0</v>
      </c>
    </row>
    <row r="62" spans="1:4" x14ac:dyDescent="0.25">
      <c r="A62" s="9" t="s">
        <v>120</v>
      </c>
      <c r="B62" s="10" t="str">
        <f t="shared" si="0"/>
        <v>NPFH50</v>
      </c>
      <c r="C62" s="15" t="str">
        <f t="shared" si="1"/>
        <v>XTCHNPFH50</v>
      </c>
      <c r="D62" s="7" t="s">
        <v>21</v>
      </c>
    </row>
    <row r="63" spans="1:4" x14ac:dyDescent="0.25">
      <c r="A63" s="9" t="s">
        <v>121</v>
      </c>
      <c r="B63" s="10" t="str">
        <f t="shared" si="0"/>
        <v>NPFM500H</v>
      </c>
      <c r="C63" s="15" t="str">
        <f t="shared" si="1"/>
        <v>XTCHNPFM500H</v>
      </c>
      <c r="D63" s="7" t="s">
        <v>1</v>
      </c>
    </row>
    <row r="64" spans="1:4" x14ac:dyDescent="0.25">
      <c r="A64" s="9" t="s">
        <v>122</v>
      </c>
      <c r="B64" s="10" t="str">
        <f t="shared" si="0"/>
        <v>NPFV100</v>
      </c>
      <c r="C64" s="15" t="str">
        <f t="shared" si="1"/>
        <v>XTCHNPFV100</v>
      </c>
      <c r="D64" s="7" t="s">
        <v>15</v>
      </c>
    </row>
    <row r="65" spans="1:4" x14ac:dyDescent="0.25">
      <c r="A65" s="9" t="s">
        <v>123</v>
      </c>
      <c r="B65" s="10" t="str">
        <f t="shared" si="0"/>
        <v>NPFV50</v>
      </c>
      <c r="C65" s="15" t="str">
        <f t="shared" si="1"/>
        <v>XTCHNPFV50</v>
      </c>
      <c r="D65" s="7" t="s">
        <v>3</v>
      </c>
    </row>
    <row r="66" spans="1:4" x14ac:dyDescent="0.25">
      <c r="A66" s="9" t="s">
        <v>124</v>
      </c>
      <c r="B66" s="10" t="str">
        <f t="shared" si="0"/>
        <v>NPFV70</v>
      </c>
      <c r="C66" s="15" t="str">
        <f t="shared" si="1"/>
        <v>XTCHNPFV70</v>
      </c>
      <c r="D66" s="7" t="s">
        <v>17</v>
      </c>
    </row>
    <row r="67" spans="1:4" x14ac:dyDescent="0.25">
      <c r="A67" s="9" t="s">
        <v>125</v>
      </c>
      <c r="B67" s="10" t="str">
        <f t="shared" ref="B67:B93" si="2">RIGHT(A67, LEN(A67)-2)</f>
        <v>NPFW50</v>
      </c>
      <c r="C67" s="15" t="str">
        <f t="shared" ref="C67:C93" si="3">"XTCH"&amp;B67</f>
        <v>XTCHNPFW50</v>
      </c>
      <c r="D67" s="7" t="s">
        <v>16</v>
      </c>
    </row>
    <row r="68" spans="1:4" x14ac:dyDescent="0.25">
      <c r="A68" s="9" t="s">
        <v>126</v>
      </c>
      <c r="B68" s="10" t="str">
        <f t="shared" si="2"/>
        <v>NPW126</v>
      </c>
      <c r="C68" s="15" t="str">
        <f t="shared" si="3"/>
        <v>XTCHNPW126</v>
      </c>
      <c r="D68" s="7" t="s">
        <v>14</v>
      </c>
    </row>
    <row r="69" spans="1:4" x14ac:dyDescent="0.25">
      <c r="A69" s="9" t="s">
        <v>127</v>
      </c>
      <c r="B69" s="10" t="str">
        <f t="shared" si="2"/>
        <v>SLB10A</v>
      </c>
      <c r="C69" s="15" t="str">
        <f t="shared" si="3"/>
        <v>XTCHSLB10A</v>
      </c>
      <c r="D69" s="7" t="s">
        <v>33</v>
      </c>
    </row>
    <row r="70" spans="1:4" x14ac:dyDescent="0.25">
      <c r="A70" s="9" t="s">
        <v>128</v>
      </c>
      <c r="B70" s="10" t="str">
        <f t="shared" si="2"/>
        <v>VBG260</v>
      </c>
      <c r="C70" s="15" t="str">
        <f t="shared" si="3"/>
        <v>XTCHVBG260</v>
      </c>
      <c r="D70" s="7" t="s">
        <v>13</v>
      </c>
    </row>
    <row r="71" spans="1:4" x14ac:dyDescent="0.25">
      <c r="A71" s="9" t="s">
        <v>129</v>
      </c>
      <c r="B71" s="10" t="str">
        <f t="shared" si="2"/>
        <v>VBG6</v>
      </c>
      <c r="C71" s="15" t="str">
        <f t="shared" si="3"/>
        <v>XTCHVBG6</v>
      </c>
      <c r="D71" s="7" t="s">
        <v>12</v>
      </c>
    </row>
    <row r="72" spans="1:4" x14ac:dyDescent="0.25">
      <c r="A72" s="9" t="s">
        <v>130</v>
      </c>
      <c r="B72" s="10" t="str">
        <f t="shared" si="2"/>
        <v>VBK180</v>
      </c>
      <c r="C72" s="15" t="str">
        <f t="shared" si="3"/>
        <v>XTCHVBK180</v>
      </c>
      <c r="D72" s="7" t="s">
        <v>10</v>
      </c>
    </row>
    <row r="73" spans="1:4" x14ac:dyDescent="0.25">
      <c r="A73" s="9" t="s">
        <v>131</v>
      </c>
      <c r="B73" s="10" t="str">
        <f t="shared" si="2"/>
        <v>VBK360</v>
      </c>
      <c r="C73" s="15" t="str">
        <f t="shared" si="3"/>
        <v>XTCHVBK360</v>
      </c>
      <c r="D73" s="7" t="s">
        <v>11</v>
      </c>
    </row>
    <row r="74" spans="1:4" x14ac:dyDescent="0.25">
      <c r="A74" s="9" t="s">
        <v>132</v>
      </c>
      <c r="B74" s="10" t="str">
        <f t="shared" si="2"/>
        <v>VBN130</v>
      </c>
      <c r="C74" s="15" t="str">
        <f t="shared" si="3"/>
        <v>XTCHVBN130</v>
      </c>
      <c r="D74" s="7" t="s">
        <v>9</v>
      </c>
    </row>
    <row r="75" spans="1:4" x14ac:dyDescent="0.25">
      <c r="A75" s="9" t="s">
        <v>133</v>
      </c>
      <c r="B75" s="10" t="str">
        <f t="shared" si="2"/>
        <v>VBN260</v>
      </c>
      <c r="C75" s="15" t="str">
        <f t="shared" si="3"/>
        <v>XTCHVBN260</v>
      </c>
      <c r="D75" s="7" t="s">
        <v>8</v>
      </c>
    </row>
    <row r="76" spans="1:4" x14ac:dyDescent="0.25">
      <c r="A76" s="9" t="s">
        <v>134</v>
      </c>
      <c r="B76" s="10" t="str">
        <f t="shared" si="2"/>
        <v>VF815</v>
      </c>
      <c r="C76" s="15" t="str">
        <f t="shared" si="3"/>
        <v>XTCHVF815</v>
      </c>
      <c r="D76" s="7" t="s">
        <v>7</v>
      </c>
    </row>
    <row r="77" spans="1:4" x14ac:dyDescent="0.25">
      <c r="A77" s="9" t="s">
        <v>135</v>
      </c>
      <c r="B77" s="10" t="str">
        <f t="shared" si="2"/>
        <v>VF823</v>
      </c>
      <c r="C77" s="15" t="str">
        <f t="shared" si="3"/>
        <v>XTCHVF823</v>
      </c>
      <c r="D77" s="7" t="s">
        <v>6</v>
      </c>
    </row>
    <row r="78" spans="1:4" x14ac:dyDescent="0.25">
      <c r="A78" s="9" t="s">
        <v>136</v>
      </c>
      <c r="B78" s="10" t="str">
        <f t="shared" si="2"/>
        <v>VG121</v>
      </c>
      <c r="C78" s="15" t="str">
        <f t="shared" si="3"/>
        <v>XTCHVG121</v>
      </c>
      <c r="D78" s="7" t="s">
        <v>5</v>
      </c>
    </row>
    <row r="79" spans="1:4" x14ac:dyDescent="0.25">
      <c r="A79" s="9" t="s">
        <v>137</v>
      </c>
      <c r="B79" s="10" t="str">
        <f t="shared" si="2"/>
        <v>VG138</v>
      </c>
      <c r="C79" s="15" t="str">
        <f t="shared" si="3"/>
        <v>XTCHVG138</v>
      </c>
      <c r="D79" s="7" t="s">
        <v>4</v>
      </c>
    </row>
    <row r="80" spans="1:4" x14ac:dyDescent="0.25">
      <c r="A80" s="9" t="s">
        <v>66</v>
      </c>
      <c r="B80" s="10" t="str">
        <f t="shared" si="2"/>
        <v>ENEL8</v>
      </c>
      <c r="C80" s="15" t="str">
        <f t="shared" si="3"/>
        <v>XTCHENEL8</v>
      </c>
      <c r="D80" s="7" t="s">
        <v>143</v>
      </c>
    </row>
    <row r="81" spans="1:4" x14ac:dyDescent="0.25">
      <c r="A81" s="9" t="s">
        <v>96</v>
      </c>
      <c r="B81" s="10" t="str">
        <f t="shared" si="2"/>
        <v>ENEL9</v>
      </c>
      <c r="C81" s="15" t="str">
        <f t="shared" si="3"/>
        <v>XTCHENEL9</v>
      </c>
      <c r="D81" s="7" t="s">
        <v>144</v>
      </c>
    </row>
    <row r="82" spans="1:4" x14ac:dyDescent="0.25">
      <c r="A82" s="9" t="s">
        <v>73</v>
      </c>
      <c r="B82" s="10" t="str">
        <f t="shared" si="2"/>
        <v>GPH3</v>
      </c>
      <c r="C82" s="15" t="str">
        <f t="shared" si="3"/>
        <v>XTCHGPH3</v>
      </c>
      <c r="D82" s="7" t="s">
        <v>145</v>
      </c>
    </row>
    <row r="83" spans="1:4" x14ac:dyDescent="0.25">
      <c r="A83" s="9" t="s">
        <v>79</v>
      </c>
      <c r="B83" s="10" t="str">
        <f t="shared" si="2"/>
        <v>LI109</v>
      </c>
      <c r="C83" s="15" t="str">
        <f t="shared" si="3"/>
        <v>XTCHLI109</v>
      </c>
      <c r="D83" s="7" t="s">
        <v>146</v>
      </c>
    </row>
    <row r="84" spans="1:4" x14ac:dyDescent="0.25">
      <c r="A84" s="9" t="s">
        <v>74</v>
      </c>
      <c r="B84" s="10" t="str">
        <f t="shared" si="2"/>
        <v>LI42B</v>
      </c>
      <c r="C84" s="15" t="str">
        <f t="shared" si="3"/>
        <v>XTCHLI42B</v>
      </c>
      <c r="D84" s="7" t="s">
        <v>147</v>
      </c>
    </row>
    <row r="85" spans="1:4" x14ac:dyDescent="0.25">
      <c r="A85" s="9" t="s">
        <v>75</v>
      </c>
      <c r="B85" s="10" t="str">
        <f t="shared" si="2"/>
        <v>LI50B</v>
      </c>
      <c r="C85" s="15" t="str">
        <f t="shared" si="3"/>
        <v>XTCHLI50B</v>
      </c>
      <c r="D85" s="7" t="s">
        <v>148</v>
      </c>
    </row>
    <row r="86" spans="1:4" x14ac:dyDescent="0.25">
      <c r="A86" s="9" t="s">
        <v>76</v>
      </c>
      <c r="B86" s="10" t="str">
        <f t="shared" si="2"/>
        <v>LI70B</v>
      </c>
      <c r="C86" s="15" t="str">
        <f t="shared" si="3"/>
        <v>XTCHLI70B</v>
      </c>
      <c r="D86" s="7" t="s">
        <v>149</v>
      </c>
    </row>
    <row r="87" spans="1:4" x14ac:dyDescent="0.25">
      <c r="A87" s="9" t="s">
        <v>77</v>
      </c>
      <c r="B87" s="10" t="str">
        <f t="shared" si="2"/>
        <v>LI90</v>
      </c>
      <c r="C87" s="15" t="str">
        <f t="shared" si="3"/>
        <v>XTCHLI90</v>
      </c>
      <c r="D87" s="7" t="s">
        <v>150</v>
      </c>
    </row>
    <row r="88" spans="1:4" x14ac:dyDescent="0.25">
      <c r="A88" s="9" t="s">
        <v>78</v>
      </c>
      <c r="B88" s="10" t="str">
        <f t="shared" si="2"/>
        <v>LI90B</v>
      </c>
      <c r="C88" s="15" t="str">
        <f t="shared" si="3"/>
        <v>XTCHLI90B</v>
      </c>
      <c r="D88" s="7" t="s">
        <v>151</v>
      </c>
    </row>
    <row r="89" spans="1:4" x14ac:dyDescent="0.25">
      <c r="A89" s="9" t="s">
        <v>82</v>
      </c>
      <c r="B89" s="10" t="str">
        <f t="shared" si="2"/>
        <v>LPE10</v>
      </c>
      <c r="C89" s="15" t="str">
        <f t="shared" si="3"/>
        <v>XTCHLPE10</v>
      </c>
      <c r="D89" s="7" t="s">
        <v>152</v>
      </c>
    </row>
    <row r="90" spans="1:4" x14ac:dyDescent="0.25">
      <c r="A90" s="9" t="s">
        <v>83</v>
      </c>
      <c r="B90" s="10" t="str">
        <f t="shared" si="2"/>
        <v>LPE12</v>
      </c>
      <c r="C90" s="15" t="str">
        <f t="shared" si="3"/>
        <v>XTCHLPE12</v>
      </c>
      <c r="D90" s="7" t="s">
        <v>153</v>
      </c>
    </row>
    <row r="91" spans="1:4" x14ac:dyDescent="0.25">
      <c r="A91" s="9" t="s">
        <v>93</v>
      </c>
      <c r="B91" s="10" t="str">
        <f t="shared" si="2"/>
        <v>LPE5</v>
      </c>
      <c r="C91" s="15" t="str">
        <f t="shared" si="3"/>
        <v>XTCHLPE5</v>
      </c>
      <c r="D91" s="7" t="s">
        <v>154</v>
      </c>
    </row>
    <row r="92" spans="1:4" x14ac:dyDescent="0.25">
      <c r="A92" s="9" t="s">
        <v>80</v>
      </c>
      <c r="B92" s="10" t="str">
        <f t="shared" si="2"/>
        <v>LPE6</v>
      </c>
      <c r="C92" s="15" t="str">
        <f t="shared" si="3"/>
        <v>XTCHLPE6</v>
      </c>
      <c r="D92" s="7" t="s">
        <v>155</v>
      </c>
    </row>
    <row r="93" spans="1:4" x14ac:dyDescent="0.25">
      <c r="A93" s="9" t="s">
        <v>81</v>
      </c>
      <c r="B93" s="10" t="str">
        <f t="shared" si="2"/>
        <v>LPE8</v>
      </c>
      <c r="C93" s="15" t="str">
        <f t="shared" si="3"/>
        <v>XTCHLPE8</v>
      </c>
      <c r="D93" s="7" t="s">
        <v>156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>Grizli777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User7</cp:lastModifiedBy>
  <cp:lastPrinted>2014-07-01T20:56:54Z</cp:lastPrinted>
  <dcterms:created xsi:type="dcterms:W3CDTF">2014-03-21T16:35:25Z</dcterms:created>
  <dcterms:modified xsi:type="dcterms:W3CDTF">2016-08-11T16:32:03Z</dcterms:modified>
</cp:coreProperties>
</file>