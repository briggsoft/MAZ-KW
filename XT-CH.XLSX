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135" yWindow="-105" windowWidth="2520" windowHeight="10215" tabRatio="487" activeTab="1"/>
  </bookViews>
  <sheets>
    <sheet name="Original Sheet" sheetId="1" r:id="rId1"/>
    <sheet name="Good Looks" sheetId="5" r:id="rId2"/>
    <sheet name="Charger list" sheetId="3" r:id="rId3"/>
  </sheets>
  <calcPr calcId="145621"/>
  <fileRecoveryPr repairLoad="1"/>
</workbook>
</file>

<file path=xl/calcChain.xml><?xml version="1.0" encoding="utf-8"?>
<calcChain xmlns="http://schemas.openxmlformats.org/spreadsheetml/2006/main">
  <c r="C2" i="5" l="1"/>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B29" i="5"/>
  <c r="J29" i="5" s="1"/>
  <c r="B2" i="5"/>
  <c r="J2" i="5" s="1"/>
  <c r="B3" i="5"/>
  <c r="J3" i="5" s="1"/>
  <c r="B4" i="5"/>
  <c r="J4" i="5" s="1"/>
  <c r="B5" i="5"/>
  <c r="B6" i="5"/>
  <c r="B7" i="5"/>
  <c r="B8" i="5"/>
  <c r="B9" i="5"/>
  <c r="B10" i="5"/>
  <c r="B11" i="5"/>
  <c r="B12" i="5"/>
  <c r="B13" i="5"/>
  <c r="B14" i="5"/>
  <c r="B15" i="5"/>
  <c r="B16" i="5"/>
  <c r="B17" i="5"/>
  <c r="B18" i="5"/>
  <c r="B19" i="5"/>
  <c r="B20" i="5"/>
  <c r="B21" i="5"/>
  <c r="B22" i="5"/>
  <c r="B23" i="5"/>
  <c r="B24" i="5"/>
  <c r="B25" i="5"/>
  <c r="B26" i="5"/>
  <c r="B27" i="5"/>
  <c r="B28" i="5"/>
  <c r="B30" i="5"/>
  <c r="B31" i="5"/>
  <c r="B32" i="5"/>
  <c r="B33" i="5"/>
  <c r="B34" i="5"/>
  <c r="B35" i="5"/>
  <c r="B36" i="5"/>
  <c r="B37" i="5"/>
  <c r="B38" i="5"/>
  <c r="B39" i="5"/>
  <c r="B40" i="5"/>
  <c r="B42" i="5"/>
  <c r="B43" i="5"/>
  <c r="B44" i="5"/>
  <c r="B45" i="5"/>
  <c r="J45" i="5" s="1"/>
  <c r="C45" i="5"/>
  <c r="B46" i="5"/>
  <c r="J46" i="5" s="1"/>
  <c r="B47" i="5"/>
  <c r="J47" i="5" s="1"/>
  <c r="B48" i="5"/>
  <c r="J48" i="5" s="1"/>
  <c r="B49" i="5"/>
  <c r="J49" i="5" s="1"/>
  <c r="B50" i="5"/>
  <c r="J50" i="5" s="1"/>
  <c r="B51" i="5"/>
  <c r="J51" i="5" s="1"/>
  <c r="B52" i="5"/>
  <c r="J52" i="5" s="1"/>
  <c r="B53" i="5"/>
  <c r="J53" i="5" s="1"/>
  <c r="B54" i="5"/>
  <c r="J54" i="5" s="1"/>
  <c r="B55" i="5"/>
  <c r="B56" i="5"/>
  <c r="J56" i="5" s="1"/>
  <c r="B57" i="5"/>
  <c r="B58" i="5"/>
  <c r="J58" i="5" s="1"/>
  <c r="B59" i="5"/>
  <c r="B60" i="5"/>
  <c r="J60" i="5" s="1"/>
  <c r="B61" i="5"/>
  <c r="B62" i="5"/>
  <c r="J62" i="5" s="1"/>
  <c r="B63" i="5"/>
  <c r="B64" i="5"/>
  <c r="J64" i="5" s="1"/>
  <c r="B65" i="5"/>
  <c r="B66" i="5"/>
  <c r="J66" i="5" s="1"/>
  <c r="B67" i="5"/>
  <c r="B68" i="5"/>
  <c r="J68" i="5" s="1"/>
  <c r="B69" i="5"/>
  <c r="B70" i="5"/>
  <c r="J70" i="5" s="1"/>
  <c r="B71" i="5"/>
  <c r="B72" i="5"/>
  <c r="J72" i="5" s="1"/>
  <c r="B73" i="5"/>
  <c r="B74" i="5"/>
  <c r="J74" i="5" s="1"/>
  <c r="B75" i="5"/>
  <c r="B76" i="5"/>
  <c r="J76" i="5" s="1"/>
  <c r="B77" i="5"/>
  <c r="B78" i="5"/>
  <c r="J78" i="5" s="1"/>
  <c r="B79" i="5"/>
  <c r="B80" i="5"/>
  <c r="J80" i="5" s="1"/>
  <c r="B81" i="5"/>
  <c r="B82" i="5"/>
  <c r="J82" i="5" s="1"/>
  <c r="B83" i="5"/>
  <c r="B84" i="5"/>
  <c r="J84" i="5" s="1"/>
  <c r="B85" i="5"/>
  <c r="B86" i="5"/>
  <c r="J86" i="5" s="1"/>
  <c r="B87" i="5"/>
  <c r="B88" i="5"/>
  <c r="J88" i="5" s="1"/>
  <c r="B89" i="5"/>
  <c r="B90" i="5"/>
  <c r="J90" i="5" s="1"/>
  <c r="B91" i="5"/>
  <c r="B92" i="5"/>
  <c r="J92" i="5" s="1"/>
  <c r="B93" i="5"/>
  <c r="B94" i="5"/>
  <c r="J94" i="5" s="1"/>
  <c r="C93" i="5" l="1"/>
  <c r="J93" i="5"/>
  <c r="C91" i="5"/>
  <c r="J91" i="5"/>
  <c r="C89" i="5"/>
  <c r="J89" i="5"/>
  <c r="C87" i="5"/>
  <c r="J87" i="5"/>
  <c r="C85" i="5"/>
  <c r="J85" i="5"/>
  <c r="C83" i="5"/>
  <c r="J83" i="5"/>
  <c r="C81" i="5"/>
  <c r="J81" i="5"/>
  <c r="C79" i="5"/>
  <c r="J79" i="5"/>
  <c r="C77" i="5"/>
  <c r="J77" i="5"/>
  <c r="C75" i="5"/>
  <c r="J75" i="5"/>
  <c r="C73" i="5"/>
  <c r="J73" i="5"/>
  <c r="C71" i="5"/>
  <c r="J71" i="5"/>
  <c r="C69" i="5"/>
  <c r="J69" i="5"/>
  <c r="C67" i="5"/>
  <c r="J67" i="5"/>
  <c r="C65" i="5"/>
  <c r="J65" i="5"/>
  <c r="C63" i="5"/>
  <c r="J63" i="5"/>
  <c r="C61" i="5"/>
  <c r="J61" i="5"/>
  <c r="C59" i="5"/>
  <c r="J59" i="5"/>
  <c r="C57" i="5"/>
  <c r="J57" i="5"/>
  <c r="C55" i="5"/>
  <c r="J55" i="5"/>
  <c r="J43" i="5"/>
  <c r="C43" i="5"/>
  <c r="J40" i="5"/>
  <c r="C40" i="5"/>
  <c r="J38" i="5"/>
  <c r="J36" i="5"/>
  <c r="J34" i="5"/>
  <c r="J32" i="5"/>
  <c r="J30" i="5"/>
  <c r="J27" i="5"/>
  <c r="J25" i="5"/>
  <c r="J23" i="5"/>
  <c r="J21" i="5"/>
  <c r="J19" i="5"/>
  <c r="J17" i="5"/>
  <c r="J15" i="5"/>
  <c r="J13" i="5"/>
  <c r="J11" i="5"/>
  <c r="J9" i="5"/>
  <c r="J7" i="5"/>
  <c r="J5" i="5"/>
  <c r="C54" i="5"/>
  <c r="C53" i="5"/>
  <c r="C52" i="5"/>
  <c r="C51" i="5"/>
  <c r="C50" i="5"/>
  <c r="C49" i="5"/>
  <c r="C48" i="5"/>
  <c r="C47" i="5"/>
  <c r="C46" i="5"/>
  <c r="J44" i="5"/>
  <c r="C44" i="5"/>
  <c r="J42" i="5"/>
  <c r="C42" i="5"/>
  <c r="J39" i="5"/>
  <c r="J37" i="5"/>
  <c r="J35" i="5"/>
  <c r="J33" i="5"/>
  <c r="J31" i="5"/>
  <c r="J28" i="5"/>
  <c r="J26" i="5"/>
  <c r="J24" i="5"/>
  <c r="J22" i="5"/>
  <c r="J20" i="5"/>
  <c r="J18" i="5"/>
  <c r="J16" i="5"/>
  <c r="J14" i="5"/>
  <c r="J12" i="5"/>
  <c r="J10" i="5"/>
  <c r="J8" i="5"/>
  <c r="J6" i="5"/>
  <c r="C94" i="5"/>
  <c r="C92" i="5"/>
  <c r="C90" i="5"/>
  <c r="C88" i="5"/>
  <c r="C86" i="5"/>
  <c r="C84" i="5"/>
  <c r="C82" i="5"/>
  <c r="C80" i="5"/>
  <c r="C78" i="5"/>
  <c r="C76" i="5"/>
  <c r="C74" i="5"/>
  <c r="C72" i="5"/>
  <c r="C70" i="5"/>
  <c r="C68" i="5"/>
  <c r="C66" i="5"/>
  <c r="C64" i="5"/>
  <c r="C62" i="5"/>
  <c r="C60" i="5"/>
  <c r="C58" i="5"/>
  <c r="C56" i="5"/>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2" i="3"/>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<sst xmlns="http://schemas.openxmlformats.org/spreadsheetml/2006/main" count="1377" uniqueCount="698">
  <si>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</si>
  <si>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</si>
  <si>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</si>
  <si>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</si>
  <si>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</si>
  <si>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</si>
  <si>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</si>
  <si>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</si>
  <si>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</si>
  <si>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</si>
  <si>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</si>
  <si>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</si>
  <si>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</si>
  <si>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</si>
  <si>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</si>
  <si>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</si>
  <si>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</si>
  <si>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</si>
  <si>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</si>
  <si>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</si>
  <si>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</si>
  <si>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</si>
  <si>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</si>
  <si>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</si>
  <si>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</si>
  <si>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</si>
  <si>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</si>
  <si>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</si>
  <si>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</si>
  <si>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</si>
  <si>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</si>
  <si>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</si>
  <si>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</si>
  <si>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</si>
  <si>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</si>
  <si>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</si>
  <si>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</si>
  <si>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</si>
  <si>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</si>
  <si>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</si>
  <si>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</si>
  <si>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</si>
  <si>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</si>
  <si>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</si>
  <si>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</si>
  <si>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</si>
  <si>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</si>
  <si>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</si>
  <si>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</si>
  <si>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</si>
  <si>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</si>
  <si>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</si>
  <si>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</si>
  <si>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</si>
  <si>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</si>
  <si>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</si>
  <si>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</si>
  <si>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</si>
  <si>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</si>
  <si>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</si>
  <si>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</si>
  <si>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</si>
  <si>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</si>
  <si>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</si>
  <si>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</si>
  <si>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</si>
  <si>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</si>
  <si>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</si>
  <si>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</si>
  <si>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</si>
  <si>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</si>
  <si>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</si>
  <si>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</si>
  <si>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</si>
  <si>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</si>
  <si>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</si>
  <si>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</si>
  <si>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</si>
  <si>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</si>
  <si>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</si>
  <si>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</si>
  <si>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</si>
  <si>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</si>
  <si>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</si>
  <si>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</si>
  <si>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</si>
  <si>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</si>
  <si>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</si>
  <si>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</si>
  <si>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</si>
  <si>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</si>
  <si>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</si>
  <si>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</si>
  <si>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</si>
  <si>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</si>
  <si>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</si>
  <si>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</si>
  <si>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</si>
  <si>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</si>
  <si>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</si>
  <si>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</si>
  <si>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</si>
  <si>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</si>
  <si>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</si>
  <si>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</si>
  <si>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</si>
  <si>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</si>
  <si>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</si>
  <si>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</si>
  <si>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</si>
  <si>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</si>
  <si>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</si>
  <si>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</si>
  <si>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</si>
  <si>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</si>
  <si>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</si>
  <si>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</si>
  <si>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</si>
  <si>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</si>
  <si>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</si>
  <si>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</si>
  <si>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</si>
  <si>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</si>
  <si>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</si>
  <si>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</si>
  <si>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</si>
  <si>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</si>
  <si>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</si>
  <si>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</si>
  <si>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</si>
  <si>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</si>
  <si>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</si>
  <si>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</si>
  <si>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</si>
  <si>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</si>
  <si>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</si>
  <si>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</si>
  <si>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</si>
  <si>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</si>
  <si>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</si>
  <si>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</si>
  <si>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</si>
  <si>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</si>
  <si>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</si>
  <si>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</si>
  <si>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</si>
  <si>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</si>
  <si>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</si>
  <si>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</si>
  <si>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</si>
  <si>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</si>
  <si>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</si>
  <si>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</si>
  <si>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</si>
  <si>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</si>
  <si>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</si>
  <si>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</si>
  <si>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</si>
  <si>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</si>
  <si>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</si>
  <si>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</si>
  <si>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</si>
  <si>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</si>
  <si>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</si>
  <si>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</si>
  <si>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</si>
  <si>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</si>
  <si>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</si>
  <si>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</si>
  <si>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</si>
  <si>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</si>
  <si>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</si>
  <si>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</si>
  <si>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</si>
  <si>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</si>
  <si>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</si>
  <si>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</si>
  <si>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</si>
  <si>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</si>
  <si>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</si>
  <si>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</si>
  <si>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</si>
  <si>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</si>
  <si>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</si>
  <si>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</si>
  <si>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</si>
  <si>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</si>
  <si>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</si>
  <si>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</si>
  <si>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</si>
  <si>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</si>
  <si>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</si>
  <si>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</si>
  <si>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</si>
  <si>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</si>
  <si>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</si>
  <si>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</si>
  <si>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</si>
  <si>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</si>
  <si>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</si>
  <si>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</si>
  <si>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</si>
  <si>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</si>
  <si>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</si>
  <si>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</si>
  <si>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</si>
  <si>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</si>
  <si>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</si>
  <si>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</si>
  <si>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</si>
  <si>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</si>
  <si>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</si>
  <si>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</si>
  <si>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</si>
  <si>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</si>
  <si>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</si>
  <si>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</si>
  <si>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</si>
  <si>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</si>
  <si>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</si>
  <si>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</si>
  <si>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</si>
  <si>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</si>
  <si>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</si>
  <si>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</si>
  <si>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</si>
  <si>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</si>
  <si>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</si>
  <si>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</si>
  <si>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</si>
  <si>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</si>
  <si>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</si>
  <si>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</si>
  <si>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</si>
  <si>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</si>
  <si>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</si>
  <si>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</si>
  <si>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</si>
  <si>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</si>
  <si>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</si>
  <si>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</si>
  <si>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</si>
  <si>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</si>
  <si>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</si>
  <si>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</si>
  <si>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</si>
  <si>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</si>
  <si>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</si>
  <si>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</si>
  <si>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</si>
  <si>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</si>
  <si>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</si>
  <si>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</si>
  <si>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</si>
  <si>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</si>
  <si>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</si>
  <si>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</si>
  <si>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</si>
  <si>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</si>
  <si>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</si>
  <si>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</si>
  <si>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</si>
  <si>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</si>
  <si>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</si>
  <si>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</si>
  <si>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</si>
  <si>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</si>
  <si>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</si>
  <si>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</si>
  <si>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</si>
  <si>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</si>
  <si>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</si>
  <si>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</si>
  <si>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</si>
  <si>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</si>
  <si>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</si>
  <si>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</si>
  <si>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</si>
  <si>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</si>
  <si>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</si>
  <si>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</si>
  <si>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</si>
  <si>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</si>
  <si>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</si>
  <si>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</si>
  <si>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</si>
  <si>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</si>
  <si>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</si>
  <si>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</si>
  <si>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</si>
  <si>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</si>
  <si>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</si>
  <si>
    <t>Gopro HD HERO3 White Edition Gopro HD HERO3 AHDBT-301 / AHDBT-302  Black Edition Gopro HD HERO3 Silver Edition GoPro HERO3+ Black Edition GoPro HERO3+ Silver Edition</t>
  </si>
  <si>
    <t>AHDBT-301 battery charger features world-traveler input voltage of 110v-240v, smart circuit design, and LED indicators with automatic current control to protect battery from overcharging, short circuit, and electronic shock</t>
  </si>
  <si>
    <t>XTCHBCG10</t>
  </si>
  <si>
    <t>XTCHBCH7</t>
  </si>
  <si>
    <t>XTCHBCJ13</t>
  </si>
  <si>
    <t>XTCHBCK7</t>
  </si>
  <si>
    <t>XTCHBCL7</t>
  </si>
  <si>
    <t>XTCHBCM13</t>
  </si>
  <si>
    <t>XTCHBCN10</t>
  </si>
  <si>
    <t>XTCHBLC12</t>
  </si>
  <si>
    <t>XTCHBLD10</t>
  </si>
  <si>
    <t>XTCHBLE9</t>
  </si>
  <si>
    <t>XTCHBLF19</t>
  </si>
  <si>
    <t>XTCHBLG10</t>
  </si>
  <si>
    <t>XTCHBLS1</t>
  </si>
  <si>
    <t>XTCHBMB9</t>
  </si>
  <si>
    <t>XTCHBN1</t>
  </si>
  <si>
    <t>XTCHBNVG121</t>
  </si>
  <si>
    <t>XTCHBP1030</t>
  </si>
  <si>
    <t>XTCHBP110</t>
  </si>
  <si>
    <t>XTCHBP1310</t>
  </si>
  <si>
    <t>XTCHBP511</t>
  </si>
  <si>
    <t>XTCHBP70A</t>
  </si>
  <si>
    <t>XTCHBP727</t>
  </si>
  <si>
    <t>XTCHBP819</t>
  </si>
  <si>
    <t>XTCHBP970</t>
  </si>
  <si>
    <t>XTCHBX1</t>
  </si>
  <si>
    <t>XTCHD54</t>
  </si>
  <si>
    <t>XTCHENEL12</t>
  </si>
  <si>
    <t>XTCHENEL14</t>
  </si>
  <si>
    <t>XTCHENEL15</t>
  </si>
  <si>
    <t>XTCHENEL19</t>
  </si>
  <si>
    <t>XTCHENEL20</t>
  </si>
  <si>
    <t>XTCHENEL21</t>
  </si>
  <si>
    <t>XTCHENEL23</t>
  </si>
  <si>
    <t>XTCHENEL24</t>
  </si>
  <si>
    <t>XTCHENEL3E</t>
  </si>
  <si>
    <t>XTCHENEL5</t>
  </si>
  <si>
    <t>XTCHENEL8</t>
  </si>
  <si>
    <t>XTCHENEL9</t>
  </si>
  <si>
    <t>XTCHFG1</t>
  </si>
  <si>
    <t>XTCHFV50</t>
  </si>
  <si>
    <t>XTCHFW50</t>
  </si>
  <si>
    <t>XTCHGPDUAL</t>
  </si>
  <si>
    <t>XTCHGPDUAL4</t>
  </si>
  <si>
    <t>XTCHGPH3</t>
  </si>
  <si>
    <t>XTCHGPH4</t>
  </si>
  <si>
    <t>XTCHLI109</t>
  </si>
  <si>
    <t xml:space="preserve"> XTCHLI42B</t>
  </si>
  <si>
    <t>XTCHLI50B</t>
  </si>
  <si>
    <t>XTCHLI70B</t>
  </si>
  <si>
    <t>XTCHLI90</t>
  </si>
  <si>
    <t>XTCHLI90B</t>
  </si>
  <si>
    <t>XTCHLPE10</t>
  </si>
  <si>
    <t>XTCHLPE12</t>
  </si>
  <si>
    <t>XTCHLPE5</t>
  </si>
  <si>
    <t>XTCHLPE6</t>
  </si>
  <si>
    <t>XTCHLPE8</t>
  </si>
  <si>
    <t>XTCHNB10L</t>
  </si>
  <si>
    <t>XTCHNB11L</t>
  </si>
  <si>
    <t>XTCHNB12L</t>
  </si>
  <si>
    <t>XTCHNB2LH</t>
  </si>
  <si>
    <t>XTCHNB4L</t>
  </si>
  <si>
    <t>XTCHNB5L</t>
  </si>
  <si>
    <t>XTCHNB6L</t>
  </si>
  <si>
    <t>XTCHNB7L</t>
  </si>
  <si>
    <t>XTCHNB8L</t>
  </si>
  <si>
    <t>XTCHNB9L</t>
  </si>
  <si>
    <t>XTCHNP45</t>
  </si>
  <si>
    <t>XTCHNP50</t>
  </si>
  <si>
    <t>XTCHNP85</t>
  </si>
  <si>
    <t>XTCHNP95</t>
  </si>
  <si>
    <t>XTCHNPBY1</t>
  </si>
  <si>
    <t>XTCHNPF975</t>
  </si>
  <si>
    <t>XTCHNPW126</t>
  </si>
  <si>
    <t>XTCHSLB10A</t>
  </si>
  <si>
    <t>XTCHVBG</t>
  </si>
  <si>
    <t>XTCHVBK180</t>
  </si>
  <si>
    <t>XTCHVBN130</t>
  </si>
  <si>
    <t>XTCHVF815</t>
  </si>
  <si>
    <t>BCG10</t>
  </si>
  <si>
    <t>BCH7</t>
  </si>
  <si>
    <t>BCJ13</t>
  </si>
  <si>
    <t>BCK7</t>
  </si>
  <si>
    <t>BCL7</t>
  </si>
  <si>
    <t>BCM13</t>
  </si>
  <si>
    <t>BCN10</t>
  </si>
  <si>
    <t>BLC12</t>
  </si>
  <si>
    <t>BLD10</t>
  </si>
  <si>
    <t>BLE9</t>
  </si>
  <si>
    <t>BLF19</t>
  </si>
  <si>
    <t>BLG10</t>
  </si>
  <si>
    <t>BLS1</t>
  </si>
  <si>
    <t>BMB9</t>
  </si>
  <si>
    <t>BN1</t>
  </si>
  <si>
    <t>BNVG121</t>
  </si>
  <si>
    <t>BP1030</t>
  </si>
  <si>
    <t>BP110</t>
  </si>
  <si>
    <t>BP1310</t>
  </si>
  <si>
    <t>BP511</t>
  </si>
  <si>
    <t>BP70A</t>
  </si>
  <si>
    <t>BP727</t>
  </si>
  <si>
    <t>BP819</t>
  </si>
  <si>
    <t>BP970</t>
  </si>
  <si>
    <t>BX1</t>
  </si>
  <si>
    <t>D54</t>
  </si>
  <si>
    <t>ENEL12</t>
  </si>
  <si>
    <t>ENEL14</t>
  </si>
  <si>
    <t>ENEL15</t>
  </si>
  <si>
    <t>ENEL19</t>
  </si>
  <si>
    <t>ENEL20</t>
  </si>
  <si>
    <t>ENEL21</t>
  </si>
  <si>
    <t>ENEL24</t>
  </si>
  <si>
    <t>ENEL3E</t>
  </si>
  <si>
    <t>ENEL5</t>
  </si>
  <si>
    <t>FG1</t>
  </si>
  <si>
    <t>FV50</t>
  </si>
  <si>
    <t>FW50</t>
  </si>
  <si>
    <t>GPDUAL</t>
  </si>
  <si>
    <t>GPDUAL4</t>
  </si>
  <si>
    <t>GPH4</t>
  </si>
  <si>
    <t>XTB7</t>
  </si>
  <si>
    <t>XTBN1</t>
  </si>
  <si>
    <t>XTBNVG121</t>
  </si>
  <si>
    <t>XTBP727</t>
  </si>
  <si>
    <t>XTBP970</t>
  </si>
  <si>
    <t>XTBX1</t>
  </si>
  <si>
    <t>XTD54</t>
  </si>
  <si>
    <t>XTENEL24</t>
  </si>
  <si>
    <t>XTFG1</t>
  </si>
  <si>
    <t>XTFV50</t>
  </si>
  <si>
    <t>XTFW50</t>
  </si>
  <si>
    <t>XTGPDUAL</t>
  </si>
  <si>
    <t>XTGPDUAL4</t>
  </si>
  <si>
    <t>XTGPH4</t>
  </si>
  <si>
    <t>XTNB12L</t>
  </si>
  <si>
    <t>XTNPBY1</t>
  </si>
  <si>
    <t>XTVBG</t>
  </si>
  <si>
    <t>DEA65 DEA66</t>
  </si>
  <si>
    <t>DEA75B</t>
  </si>
  <si>
    <t>DEA81 DMWBTC5</t>
  </si>
  <si>
    <t>DEA91A DEA91B NCAYN101G DMWBTC8</t>
  </si>
  <si>
    <t xml:space="preserve">DEA91A DEA91B DMWBTC8 NCAYN101G </t>
  </si>
  <si>
    <t>VSK0800 </t>
  </si>
  <si>
    <t>DMCLF1</t>
  </si>
  <si>
    <t> DEA79B</t>
  </si>
  <si>
    <t>DEA93A DEA93B DMWBTC7</t>
  </si>
  <si>
    <t>DEA99A DEA99B DMWBTC9</t>
  </si>
  <si>
    <t>DMWBTC10</t>
  </si>
  <si>
    <t>DMWBLG10</t>
  </si>
  <si>
    <t>PSBCS1 BCS1</t>
  </si>
  <si>
    <t>DEA83 DMWBTC4</t>
  </si>
  <si>
    <t>BCCSN BCCSN</t>
  </si>
  <si>
    <t>AAVG1 AAVG1U</t>
  </si>
  <si>
    <t xml:space="preserve">EDBP1030 EDBP1130 </t>
  </si>
  <si>
    <t>CG110</t>
  </si>
  <si>
    <t>EDBP1310 BP1310</t>
  </si>
  <si>
    <t>CB5L CG560 CG570 CG580</t>
  </si>
  <si>
    <t>EABP70A BP70A IABP70A</t>
  </si>
  <si>
    <t>CG700 BP709 BP718 BP745</t>
  </si>
  <si>
    <t>CG800 BP807 BP808 BP809 BP819 BP820 BP827 BP828</t>
  </si>
  <si>
    <t>CG900 BP950G, BP955, BP970G, BP975 BP925</t>
  </si>
  <si>
    <t>BCTRX</t>
  </si>
  <si>
    <t>CGRD08 CGRD16 CGRD28 CGAD54 CGRD120 CGRD220 CGRD320</t>
  </si>
  <si>
    <t>MH65</t>
  </si>
  <si>
    <t>MH24</t>
  </si>
  <si>
    <t>MH25 MH25A</t>
  </si>
  <si>
    <t>MH66</t>
  </si>
  <si>
    <t>MH27</t>
  </si>
  <si>
    <t>MH28</t>
  </si>
  <si>
    <t>MH67P MH67</t>
  </si>
  <si>
    <t>MH31</t>
  </si>
  <si>
    <t>MH18 MH19</t>
  </si>
  <si>
    <t>MH61</t>
  </si>
  <si>
    <t>MH62</t>
  </si>
  <si>
    <t>MH23</t>
  </si>
  <si>
    <t>BCCSG BCTRG</t>
  </si>
  <si>
    <t>CB2LT CB2LW</t>
  </si>
  <si>
    <t>BCTRW</t>
  </si>
  <si>
    <t>AHDBT301 / AHDBT302</t>
  </si>
  <si>
    <t>AHDBT401</t>
  </si>
  <si>
    <t xml:space="preserve">AHDBT301 / AHDBT302 </t>
  </si>
  <si>
    <t>DBC109 KBC109 DBC109</t>
  </si>
  <si>
    <t>LI40C LI41C Li42C</t>
  </si>
  <si>
    <t>LI50C / UC50</t>
  </si>
  <si>
    <t>LI70C</t>
  </si>
  <si>
    <t>UC90</t>
  </si>
  <si>
    <t>LCE10 CBCE10</t>
  </si>
  <si>
    <t>LCE12</t>
  </si>
  <si>
    <t>LCE5 CBCE5</t>
  </si>
  <si>
    <t>LCE6</t>
  </si>
  <si>
    <t xml:space="preserve">LCE8
</t>
  </si>
  <si>
    <t>CB2LC </t>
  </si>
  <si>
    <t>CB2LD</t>
  </si>
  <si>
    <t>CB2LE</t>
  </si>
  <si>
    <t>CB2LV</t>
  </si>
  <si>
    <t>CB2LX</t>
  </si>
  <si>
    <t>NB6L NB6LH</t>
  </si>
  <si>
    <t>CB2LZ</t>
  </si>
  <si>
    <t> CB2LA</t>
  </si>
  <si>
    <t>CB2LB</t>
  </si>
  <si>
    <t>BC45 BC45A BC45W BC45B</t>
  </si>
  <si>
    <t>BC50 BC45W</t>
  </si>
  <si>
    <t>BC85</t>
  </si>
  <si>
    <t>BC65S BC65N BC95</t>
  </si>
  <si>
    <t>BCW126</t>
  </si>
  <si>
    <t>VWBC10</t>
  </si>
  <si>
    <t>VWBC20</t>
  </si>
  <si>
    <t>AAVF8U AAVF8USM</t>
  </si>
  <si>
    <t xml:space="preserve"> DE-A65 DE-A66</t>
  </si>
  <si>
    <t xml:space="preserve"> DE-A75B</t>
  </si>
  <si>
    <t xml:space="preserve"> DE-A81 DMW-BTC5</t>
  </si>
  <si>
    <t xml:space="preserve"> DE-A91A DE-A91B NCA-YN101G DMW-BTC8</t>
  </si>
  <si>
    <t xml:space="preserve"> DE-A91A DE-A91B DMW-BTC8 NCA-YN101G </t>
  </si>
  <si>
    <t xml:space="preserve"> VSK0800 </t>
  </si>
  <si>
    <t xml:space="preserve"> DMC-LF1</t>
  </si>
  <si>
    <t> DE-A79B</t>
  </si>
  <si>
    <t xml:space="preserve"> DE-A93A DE-A93B DMW-BTC7</t>
  </si>
  <si>
    <t xml:space="preserve"> DE-A99A DE-A99B DMW-BTC9</t>
  </si>
  <si>
    <t xml:space="preserve"> DMW-BTC10</t>
  </si>
  <si>
    <t xml:space="preserve"> DMW-BLG10</t>
  </si>
  <si>
    <t xml:space="preserve"> PS-BCS1 BCS1</t>
  </si>
  <si>
    <t xml:space="preserve"> DE-A83 DMW-BTC4</t>
  </si>
  <si>
    <t xml:space="preserve"> BC-CSN BCCSN</t>
  </si>
  <si>
    <t xml:space="preserve"> AA-VG1 AA-VG1U</t>
  </si>
  <si>
    <t xml:space="preserve">ED-BP1030 ED-BP1130 </t>
  </si>
  <si>
    <t xml:space="preserve"> CG-110</t>
  </si>
  <si>
    <t xml:space="preserve"> ED-BP1310 BP1310</t>
  </si>
  <si>
    <t xml:space="preserve"> CB-5L CG-560 CG-570 CG-580</t>
  </si>
  <si>
    <t xml:space="preserve"> EA-BP70A BP70A IA-BP70A</t>
  </si>
  <si>
    <t xml:space="preserve"> CG-700 BP-709 BP-718 BP-745</t>
  </si>
  <si>
    <t xml:space="preserve"> CG-800 BP-807 BP-808 BP-809 BP-819 BP-820 BP-827 BP-828</t>
  </si>
  <si>
    <t xml:space="preserve"> CG-900 BP-950G, BP-955, BP-970G, BP-975 BP-925</t>
  </si>
  <si>
    <t xml:space="preserve"> BC-TRX</t>
  </si>
  <si>
    <t xml:space="preserve"> CGR-D08 CGR-D16 CGR-D28 CGA-D54 CGR-D120 CGR-D220 CGR-D320</t>
  </si>
  <si>
    <t xml:space="preserve"> MH-65</t>
  </si>
  <si>
    <t xml:space="preserve"> MH-24</t>
  </si>
  <si>
    <t xml:space="preserve"> MH-25 MH-25A</t>
  </si>
  <si>
    <t xml:space="preserve"> MH-66</t>
  </si>
  <si>
    <t xml:space="preserve"> MH-27</t>
  </si>
  <si>
    <t xml:space="preserve"> MH-28</t>
  </si>
  <si>
    <t xml:space="preserve"> MH-67P MH-67</t>
  </si>
  <si>
    <t xml:space="preserve"> MH-31</t>
  </si>
  <si>
    <t xml:space="preserve"> MH-18 MH-19</t>
  </si>
  <si>
    <t xml:space="preserve"> MH-61</t>
  </si>
  <si>
    <t xml:space="preserve"> MH-62</t>
  </si>
  <si>
    <t xml:space="preserve"> MH-23</t>
  </si>
  <si>
    <t xml:space="preserve"> BC-CSG BC-TRG</t>
  </si>
  <si>
    <t xml:space="preserve"> CB-2LT CB-2LW</t>
  </si>
  <si>
    <t xml:space="preserve"> BC-TRW</t>
  </si>
  <si>
    <t xml:space="preserve"> AHDBT-301 / AHDBT-302</t>
  </si>
  <si>
    <t xml:space="preserve"> AHDBT-401</t>
  </si>
  <si>
    <t xml:space="preserve"> D-BC109 K-BC109 DBC109</t>
  </si>
  <si>
    <t xml:space="preserve"> LI-40C LI-41C Li-42C</t>
  </si>
  <si>
    <t>LI-50C / UC-50</t>
  </si>
  <si>
    <t>LI-70C</t>
  </si>
  <si>
    <t>UC-90</t>
  </si>
  <si>
    <t>LC-E10 CBC-E10</t>
  </si>
  <si>
    <t>LC-E12</t>
  </si>
  <si>
    <t>LC-E5 CBC-E5</t>
  </si>
  <si>
    <t>LC-E6</t>
  </si>
  <si>
    <t>LC-E8</t>
  </si>
  <si>
    <t>CB-2LC </t>
  </si>
  <si>
    <t>CB-2LD</t>
  </si>
  <si>
    <t>CB-2LE</t>
  </si>
  <si>
    <t>CB-2LT CB-2LW</t>
  </si>
  <si>
    <t>CB-2LV</t>
  </si>
  <si>
    <t>CB-2LX</t>
  </si>
  <si>
    <t>NB-6L NB-6LH</t>
  </si>
  <si>
    <t>CB-2LZ</t>
  </si>
  <si>
    <t> CB-2LA</t>
  </si>
  <si>
    <t>CB-2LB</t>
  </si>
  <si>
    <t>BC-45 BC-45A BC-45W BC-45B</t>
  </si>
  <si>
    <t>BC-50 BC-45W</t>
  </si>
  <si>
    <t>BC-85</t>
  </si>
  <si>
    <t>BC-65S BC-65N BC-95</t>
  </si>
  <si>
    <t>BC-W126</t>
  </si>
  <si>
    <t>VW-BC10</t>
  </si>
  <si>
    <t>VW-BC20</t>
  </si>
  <si>
    <t>AA-VF8U AA-VF8USM</t>
  </si>
  <si>
    <t xml:space="preserve"> LI109</t>
  </si>
  <si>
    <t xml:space="preserve"> LI42B</t>
  </si>
  <si>
    <t xml:space="preserve"> LI50B</t>
  </si>
  <si>
    <t xml:space="preserve"> LI70B</t>
  </si>
  <si>
    <t xml:space="preserve"> LI90</t>
  </si>
  <si>
    <t xml:space="preserve"> LI90B</t>
  </si>
  <si>
    <t xml:space="preserve"> LPE10</t>
  </si>
  <si>
    <t xml:space="preserve"> LPE12</t>
  </si>
  <si>
    <t xml:space="preserve"> LPE5</t>
  </si>
  <si>
    <t xml:space="preserve"> LPE6</t>
  </si>
  <si>
    <t xml:space="preserve"> LPE8</t>
  </si>
  <si>
    <t xml:space="preserve"> NB10L</t>
  </si>
  <si>
    <t xml:space="preserve"> NB11L</t>
  </si>
  <si>
    <t xml:space="preserve"> NB12L</t>
  </si>
  <si>
    <t xml:space="preserve"> NB2LH</t>
  </si>
  <si>
    <t xml:space="preserve"> NB4L</t>
  </si>
  <si>
    <t xml:space="preserve"> NB5L</t>
  </si>
  <si>
    <t xml:space="preserve"> NB6L</t>
  </si>
  <si>
    <t xml:space="preserve"> NB7L</t>
  </si>
  <si>
    <t xml:space="preserve"> NB8L</t>
  </si>
  <si>
    <t xml:space="preserve"> NB9L</t>
  </si>
  <si>
    <t xml:space="preserve"> NP45</t>
  </si>
  <si>
    <t xml:space="preserve"> NP50</t>
  </si>
  <si>
    <t xml:space="preserve"> NP85</t>
  </si>
  <si>
    <t xml:space="preserve"> NP95</t>
  </si>
  <si>
    <t xml:space="preserve"> NPBY1</t>
  </si>
  <si>
    <t xml:space="preserve"> NPF975</t>
  </si>
  <si>
    <t xml:space="preserve"> NPW126</t>
  </si>
  <si>
    <t xml:space="preserve"> SLB10A</t>
  </si>
  <si>
    <t xml:space="preserve"> VBG</t>
  </si>
  <si>
    <t xml:space="preserve"> VBK180</t>
  </si>
  <si>
    <t xml:space="preserve"> VBN130</t>
  </si>
  <si>
    <t xml:space="preserve"> VF815</t>
  </si>
  <si>
    <t>Original</t>
  </si>
  <si>
    <t>Just XT</t>
  </si>
  <si>
    <t>Main keywords</t>
  </si>
  <si>
    <t>volt mah shock electric Batteries battery camera kamera camcorder dslr digital lithium lithium-ion charger rechargeable</t>
  </si>
  <si>
    <t xml:space="preserve">ED-BP1030 ED-BP1130  EDBP1030 EDBP1130 </t>
  </si>
  <si>
    <t xml:space="preserve"> MH-65 MH65</t>
  </si>
  <si>
    <t xml:space="preserve"> MH-24 MH24</t>
  </si>
  <si>
    <t xml:space="preserve"> MH-25 MH-25A MH25 MH25A</t>
  </si>
  <si>
    <t xml:space="preserve"> MH-66 MH66</t>
  </si>
  <si>
    <t xml:space="preserve"> MH-27 MH27</t>
  </si>
  <si>
    <t xml:space="preserve"> MH-28 MH28</t>
  </si>
  <si>
    <t xml:space="preserve"> MH-67P MH-67 MH67P MH67</t>
  </si>
  <si>
    <t xml:space="preserve"> MH-31 MH31</t>
  </si>
  <si>
    <t xml:space="preserve"> MH-18 MH-19 MH18 MH19</t>
  </si>
  <si>
    <t xml:space="preserve"> MH-61 MH61</t>
  </si>
  <si>
    <t xml:space="preserve"> MH-62 MH62</t>
  </si>
  <si>
    <t xml:space="preserve"> MH-23 MH23</t>
  </si>
  <si>
    <t xml:space="preserve"> BC-CSG BC-TRG BCCSG BCTRG</t>
  </si>
  <si>
    <t xml:space="preserve"> CB-2LT CB-2LW CB2LT CB2LW</t>
  </si>
  <si>
    <t xml:space="preserve"> BC-TRW BCTRW</t>
  </si>
  <si>
    <t xml:space="preserve"> AHDBT-301 / AHDBT-302 AHDBT301 / AHDBT302</t>
  </si>
  <si>
    <t xml:space="preserve"> AHDBT-401 AHDBT401</t>
  </si>
  <si>
    <t xml:space="preserve"> AHDBT-301 / AHDBT-302 AHDBT301 / AHDBT302 </t>
  </si>
  <si>
    <t xml:space="preserve"> D-BC109 K-BC109 DBC109 DBC109 KBC109 DBC109</t>
  </si>
  <si>
    <t xml:space="preserve"> LI-40C LI-41C Li-42C LI40C LI41C Li42C</t>
  </si>
  <si>
    <t>LI-50C / UC-50 LI50C / UC50</t>
  </si>
  <si>
    <t>LI-70C LI70C</t>
  </si>
  <si>
    <t>UC-90 UC90</t>
  </si>
  <si>
    <t>LC-E10 CBC-E10 LCE10 CBCE10</t>
  </si>
  <si>
    <t>LC-E12 LCE12</t>
  </si>
  <si>
    <t>LC-E5 CBC-E5 LCE5 CBCE5</t>
  </si>
  <si>
    <t>LC-E6 LCE6</t>
  </si>
  <si>
    <t xml:space="preserve">LC-E8 LCE8
</t>
  </si>
  <si>
    <t>CB-2LC  CB2LC </t>
  </si>
  <si>
    <t>CB-2LD CB2LD</t>
  </si>
  <si>
    <t>CB-2LE CB2LE</t>
  </si>
  <si>
    <t>CB-2LT CB-2LW CB2LT CB2LW</t>
  </si>
  <si>
    <t>CB-2LV CB2LV</t>
  </si>
  <si>
    <t>CB-2LX CB2LX</t>
  </si>
  <si>
    <t>NB-6L NB-6LH NB6L NB6LH</t>
  </si>
  <si>
    <t>CB-2LZ CB2LZ</t>
  </si>
  <si>
    <t> CB-2LA  CB2LA</t>
  </si>
  <si>
    <t>CB-2LB CB2LB</t>
  </si>
  <si>
    <t>BC-45 BC-45A BC-45W BC-45B BC45 BC45A BC45W BC45B</t>
  </si>
  <si>
    <t>BC-50 BC-45W BC50 BC45W</t>
  </si>
  <si>
    <t>BC-85 BC85</t>
  </si>
  <si>
    <t>BC-65S BC-65N BC-95 BC65S BC65N BC95</t>
  </si>
  <si>
    <t xml:space="preserve"> </t>
  </si>
  <si>
    <t>BC-W126 BCW126</t>
  </si>
  <si>
    <t>VW-BC10 VWBC10</t>
  </si>
  <si>
    <t>VW-BC20 VWBC20</t>
  </si>
  <si>
    <t>AA-VF8U AA-VF8USM AAVF8U AAVF8USM</t>
  </si>
  <si>
    <t>K1-sep</t>
  </si>
  <si>
    <t>K2-sep</t>
  </si>
  <si>
    <t>formula for keywords</t>
  </si>
  <si>
    <t>Rm'd XT + CH</t>
  </si>
  <si>
    <t>CG-110 CG110</t>
  </si>
  <si>
    <t>AA-VG1 AA-VG1U AAVG1 AAVG1U</t>
  </si>
  <si>
    <t>BC-CSN BCCSN BCCSN BCCSN</t>
  </si>
  <si>
    <t>DE-A83 DMW-BTC4 DEA83 DMWBTC4</t>
  </si>
  <si>
    <t>PS-BCS1 BCS1 PSBCS1 BCS1</t>
  </si>
  <si>
    <t>DMW-BLG10 DMWBLG10</t>
  </si>
  <si>
    <t>DMW-BTC10 DMWBTC10</t>
  </si>
  <si>
    <t>DE-A99A DE-A99B DMW-BTC9 DEA99A DEA99B DMWBTC9</t>
  </si>
  <si>
    <t>DE-A93A DE-A93B DMW-BTC7 DEA93A DEA93B DMWBTC7</t>
  </si>
  <si>
    <t>DE-A79B  DEA79B</t>
  </si>
  <si>
    <t>DMC-LF1 DMCLF1</t>
  </si>
  <si>
    <t>VSK0800  VSK0800 </t>
  </si>
  <si>
    <t>DE-A91A DE-A91B NCA-YN101G DMW-BTC8 DEA91A DEA91B NCAYN101G DMWBTC8</t>
  </si>
  <si>
    <t>DE-A81 DMW-BTC5 DEA81 DMWBTC5</t>
  </si>
  <si>
    <t xml:space="preserve">DE-A91A DE-A91B DMW-BTC8 NCA-YN101G  DEA91A DEA91B DMWBTC8 NCAYN101G </t>
  </si>
  <si>
    <t>DE-A75B DEA75B</t>
  </si>
  <si>
    <t>DE-A65 DE-A66 DEA65 DEA66</t>
  </si>
  <si>
    <t>ED-BP1310 BP1310 EDBP1310 BP1310</t>
  </si>
  <si>
    <t>CB-5L CG-560 CG-570 CG-580 CB5L CG560 CG570 CG580</t>
  </si>
  <si>
    <t>EA-BP70A BP70A IA-BP70A EABP70A BP70A IABP70A</t>
  </si>
  <si>
    <t>CG-700 BP-709 BP-718 BP-745 CG700 BP709 BP718 BP745</t>
  </si>
  <si>
    <t>CG-800 BP-807 BP-808 BP-809 BP-819 BP-820 BP-827 BP-828 CG800 BP807 BP808 BP809 BP819 BP820 BP827 BP828</t>
  </si>
  <si>
    <t>CG-900 BP-950G, BP-955, BP-970G, BP-975 BP-925 CG900 BP950G, BP955, BP970G, BP975 BP925</t>
  </si>
  <si>
    <t>BC-TRX BCTRX</t>
  </si>
  <si>
    <t>CGR-D08 CGR-D16 CGR-D28 CGA-D54 CGR-D120 CGR-D220 CGR-D320 CGRD08 CGRD16 CGRD28 CGAD54 CGRD120 CGRD220 CGRD320</t>
  </si>
  <si>
    <t xml:space="preserve">BCG10 </t>
  </si>
  <si>
    <t>BLM5</t>
  </si>
  <si>
    <t>BLS5</t>
  </si>
  <si>
    <t>BP718</t>
  </si>
  <si>
    <t>BP727FD</t>
  </si>
  <si>
    <t>BP808</t>
  </si>
  <si>
    <t>BP820</t>
  </si>
  <si>
    <t>BP827</t>
  </si>
  <si>
    <t>BP828</t>
  </si>
  <si>
    <t>BP970G</t>
  </si>
  <si>
    <t>CGRD54</t>
  </si>
  <si>
    <t>ENEL22</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</si>
</sst>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43" formatCode="_(* #,##0.00_);_(* \(#,##0.00\);_(* &quot;-&quot;??_);_(@_)"/>
  </numFmts>
  <fonts count="15"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sz val="10"/>
      <name val="Tahoma"/>
      <family val="2"/>
    </font>
    <font>
      <sz val="10"/>
      <color rgb="FFFF0000"/>
      <name val="Tahoma"/>
      <family val="2"/>
    </font>
    <font>
      <b/>
      <sz val="10"/>
      <name val="Tahoma"/>
      <family val="2"/>
    </font>
    <font>
      <b/>
      <sz val="12"/>
      <name val="Tahoma"/>
      <family val="2"/>
    </font>
    <font>
      <b/>
      <sz val="12"/>
      <color theme="1"/>
      <name val="Calibri"/>
      <family val="2"/>
      <scheme val="minor"/>
    </font>
  </fonts>
  <fills count="13">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A5A5A5"/>
      </patternFill>
    </fill>
    <fill>
      <patternFill patternType="solid">
        <fgColor theme="9"/>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2" fillId="2" borderId="2" applyNumberFormat="0" applyAlignment="0" applyProtection="0"/>
    <xf numFmtId="43" fontId="7" fillId="0" borderId="0" applyFont="0" applyFill="0" applyBorder="0" applyAlignment="0" applyProtection="0"/>
    <xf numFmtId="0" fontId="8" fillId="8" borderId="3" applyNumberFormat="0" applyAlignment="0" applyProtection="0"/>
    <xf numFmtId="0" fontId="9" fillId="9" borderId="0" applyNumberFormat="0" applyBorder="0" applyAlignment="0" applyProtection="0"/>
  </cellStyleXfs>
  <cellXfs count="46">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xf numFmtId="0" fontId="8" fillId="8" borderId="3" xfId="3"/>
    <xf numFmtId="0" fontId="9" fillId="9" borderId="0" xfId="4"/>
    <xf numFmtId="0" fontId="9" fillId="9" borderId="2" xfId="4" applyBorder="1"/>
    <xf numFmtId="43" fontId="9" fillId="9" borderId="2" xfId="2" applyFont="1" applyFill="1" applyBorder="1"/>
    <xf numFmtId="0" fontId="14" fillId="0" borderId="0" xfId="0" applyFont="1"/>
    <xf numFmtId="0" fontId="13" fillId="10" borderId="0" xfId="0" applyFont="1" applyFill="1"/>
    <xf numFmtId="0" fontId="10" fillId="10" borderId="0" xfId="0" applyFont="1" applyFill="1"/>
    <xf numFmtId="0" fontId="11" fillId="10" borderId="0" xfId="0" applyFont="1" applyFill="1"/>
    <xf numFmtId="0" fontId="0" fillId="10" borderId="0" xfId="0" applyFill="1"/>
    <xf numFmtId="0" fontId="13" fillId="11" borderId="0" xfId="0" applyFont="1" applyFill="1"/>
    <xf numFmtId="0" fontId="10" fillId="11" borderId="0" xfId="0" applyFont="1" applyFill="1"/>
    <xf numFmtId="0" fontId="0" fillId="11" borderId="0" xfId="0" applyFill="1"/>
    <xf numFmtId="0" fontId="13" fillId="6" borderId="0" xfId="0" applyFont="1" applyFill="1"/>
    <xf numFmtId="0" fontId="10" fillId="6" borderId="0" xfId="0" applyFont="1" applyFill="1"/>
    <xf numFmtId="0" fontId="11" fillId="6" borderId="0" xfId="0" applyFont="1" applyFill="1"/>
    <xf numFmtId="0" fontId="13" fillId="12" borderId="0" xfId="0" applyFont="1" applyFill="1"/>
    <xf numFmtId="0" fontId="10" fillId="12" borderId="0" xfId="0" applyFont="1" applyFill="1"/>
    <xf numFmtId="0" fontId="10" fillId="12" borderId="0" xfId="0" applyFont="1" applyFill="1" applyAlignment="1">
      <alignment vertical="center" wrapText="1"/>
    </xf>
    <xf numFmtId="0" fontId="0" fillId="12" borderId="0" xfId="0" applyFill="1"/>
    <xf numFmtId="0" fontId="14" fillId="3" borderId="0" xfId="0" applyFont="1" applyFill="1"/>
    <xf numFmtId="0" fontId="12" fillId="10" borderId="0" xfId="0" applyFont="1" applyFill="1"/>
  </cellXfs>
  <cellStyles count="5">
    <cellStyle name="Accent6" xfId="4" builtinId="49"/>
    <cellStyle name="Check Cell" xfId="3" builtinId="23"/>
    <cellStyle name="Comma" xfId="2" builtinId="3"/>
    <cellStyle name="Normal" xfId="0" builtinId="0"/>
    <cellStyle name="Output" xfId="1" builtinId="21"/>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17" activePane="bottomLeft" state="frozen"/>
      <selection pane="bottomLeft" activeCell="A41" sqref="A41:XFD4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6"/>
  <sheetViews>
    <sheetView tabSelected="1" zoomScaleNormal="100" workbookViewId="0">
      <pane ySplit="1" topLeftCell="A23" activePane="bottomLeft" state="frozen"/>
      <selection pane="bottomLeft" activeCell="C2" sqref="C2:C39"/>
    </sheetView>
  </sheetViews>
  <sheetFormatPr defaultRowHeight="15" x14ac:dyDescent="0.25"/>
  <cols>
    <col min="1" max="1" width="9.7109375" style="9" customWidth="1"/>
    <col min="2" max="2" width="11.7109375" style="10" customWidth="1"/>
    <col min="3" max="3" width="18.5703125" style="15" customWidth="1"/>
    <col min="4" max="4" width="18.5703125" style="7" customWidth="1"/>
    <col min="5" max="5" width="12.42578125" style="21" customWidth="1"/>
    <col min="6" max="6" width="9.85546875" style="24" customWidth="1"/>
    <col min="7" max="7" width="14" style="16" customWidth="1"/>
    <col min="8" max="8" width="33" style="18" customWidth="1"/>
    <col min="9" max="9" width="10.7109375" bestFit="1" customWidth="1"/>
    <col min="10" max="10" width="10.5703125" bestFit="1" customWidth="1"/>
  </cols>
  <sheetData>
    <row r="1" spans="1:10" s="14" customFormat="1" ht="21" x14ac:dyDescent="0.35">
      <c r="A1" s="11" t="s">
        <v>290</v>
      </c>
      <c r="B1" s="12" t="s">
        <v>162</v>
      </c>
      <c r="C1" s="17" t="s">
        <v>291</v>
      </c>
      <c r="D1" s="13" t="s">
        <v>289</v>
      </c>
      <c r="E1" s="20" t="s">
        <v>157</v>
      </c>
      <c r="F1" s="23" t="s">
        <v>161</v>
      </c>
      <c r="H1" s="19" t="s">
        <v>158</v>
      </c>
    </row>
    <row r="2" spans="1:10" x14ac:dyDescent="0.25">
      <c r="A2" s="8" t="s">
        <v>99</v>
      </c>
      <c r="B2" s="10" t="str">
        <f>RIGHT(A2, LEN(A2)-2)</f>
        <v>BCF10</v>
      </c>
      <c r="C2" s="15" t="str">
        <f>"XTCH"&amp;B2</f>
        <v>XTCHBCF10</v>
      </c>
      <c r="D2" s="7" t="s">
        <v>90</v>
      </c>
      <c r="E2" s="21" t="s">
        <v>159</v>
      </c>
      <c r="F2" s="24" t="s">
        <v>160</v>
      </c>
      <c r="H2" s="18" t="s">
        <v>141</v>
      </c>
      <c r="I2" s="1" t="s">
        <v>90</v>
      </c>
      <c r="J2">
        <f>IF(ISERROR(MATCH(B2,I2,0)),"",1)</f>
        <v>1</v>
      </c>
    </row>
    <row r="3" spans="1:10" x14ac:dyDescent="0.25">
      <c r="A3" s="8" t="s">
        <v>100</v>
      </c>
      <c r="B3" s="10" t="str">
        <f>RIGHT(A3, LEN(A3)-2)</f>
        <v>BP1130</v>
      </c>
      <c r="C3" s="15" t="str">
        <f>"XTCH"&amp;B3</f>
        <v>XTCHBP1130</v>
      </c>
      <c r="D3" s="7" t="s">
        <v>91</v>
      </c>
      <c r="E3" s="21" t="s">
        <v>163</v>
      </c>
      <c r="F3" s="24" t="s">
        <v>164</v>
      </c>
      <c r="H3" s="18" t="s">
        <v>141</v>
      </c>
      <c r="I3" s="1" t="s">
        <v>91</v>
      </c>
      <c r="J3">
        <f t="shared" ref="J3:J40" si="0">IF(ISERROR(MATCH(B3,I3,0)),"",1)</f>
        <v>1</v>
      </c>
    </row>
    <row r="4" spans="1:10" x14ac:dyDescent="0.25">
      <c r="A4" s="8" t="s">
        <v>101</v>
      </c>
      <c r="B4" s="10" t="str">
        <f>RIGHT(A4, LEN(A4)-2)</f>
        <v>ENEL23</v>
      </c>
      <c r="C4" s="15" t="str">
        <f>"XTCH"&amp;B4</f>
        <v>XTCHENEL23</v>
      </c>
      <c r="D4" s="7" t="s">
        <v>89</v>
      </c>
      <c r="E4" s="21" t="s">
        <v>165</v>
      </c>
      <c r="H4" s="18" t="s">
        <v>141</v>
      </c>
      <c r="I4" s="1" t="s">
        <v>89</v>
      </c>
      <c r="J4">
        <f t="shared" si="0"/>
        <v>1</v>
      </c>
    </row>
    <row r="5" spans="1:10" x14ac:dyDescent="0.25">
      <c r="A5" s="8" t="s">
        <v>102</v>
      </c>
      <c r="B5" s="10" t="str">
        <f>RIGHT(A5, LEN(A5)-2)</f>
        <v>NB10L</v>
      </c>
      <c r="C5" s="15" t="str">
        <f>"XTCH"&amp;B5</f>
        <v>XTCHNB10L</v>
      </c>
      <c r="D5" s="7" t="s">
        <v>27</v>
      </c>
      <c r="E5" s="21" t="s">
        <v>166</v>
      </c>
      <c r="F5" s="24" t="s">
        <v>167</v>
      </c>
      <c r="H5" s="18" t="s">
        <v>141</v>
      </c>
      <c r="I5" s="1" t="s">
        <v>27</v>
      </c>
      <c r="J5">
        <f t="shared" si="0"/>
        <v>1</v>
      </c>
    </row>
    <row r="6" spans="1:10" x14ac:dyDescent="0.25">
      <c r="A6" s="8" t="s">
        <v>103</v>
      </c>
      <c r="B6" s="10" t="str">
        <f>RIGHT(A6, LEN(A6)-2)</f>
        <v>NB11L</v>
      </c>
      <c r="C6" s="15" t="str">
        <f>"XTCH"&amp;B6</f>
        <v>XTCHNB11L</v>
      </c>
      <c r="D6" s="7" t="s">
        <v>26</v>
      </c>
      <c r="E6" s="21" t="s">
        <v>168</v>
      </c>
      <c r="H6" s="18" t="s">
        <v>141</v>
      </c>
      <c r="I6" s="1" t="s">
        <v>26</v>
      </c>
      <c r="J6">
        <f t="shared" si="0"/>
        <v>1</v>
      </c>
    </row>
    <row r="7" spans="1:10" x14ac:dyDescent="0.25">
      <c r="A7" s="8" t="s">
        <v>104</v>
      </c>
      <c r="B7" s="10" t="str">
        <f>RIGHT(A7, LEN(A7)-2)</f>
        <v>NB2LH</v>
      </c>
      <c r="C7" s="15" t="str">
        <f>"XTCH"&amp;B7</f>
        <v>XTCHNB2LH</v>
      </c>
      <c r="D7" s="7" t="s">
        <v>18</v>
      </c>
      <c r="E7" s="21" t="s">
        <v>169</v>
      </c>
      <c r="H7" s="18" t="s">
        <v>141</v>
      </c>
      <c r="I7" s="1" t="s">
        <v>18</v>
      </c>
      <c r="J7">
        <f t="shared" si="0"/>
        <v>1</v>
      </c>
    </row>
    <row r="8" spans="1:10" x14ac:dyDescent="0.25">
      <c r="A8" s="8" t="s">
        <v>105</v>
      </c>
      <c r="B8" s="10" t="str">
        <f>RIGHT(A8, LEN(A8)-2)</f>
        <v>NB4L</v>
      </c>
      <c r="C8" s="15" t="str">
        <f>"XTCH"&amp;B8</f>
        <v>XTCHNB4L</v>
      </c>
      <c r="D8" s="7" t="s">
        <v>32</v>
      </c>
      <c r="E8" s="22" t="s">
        <v>170</v>
      </c>
      <c r="F8" s="24" t="s">
        <v>171</v>
      </c>
      <c r="H8" s="18" t="s">
        <v>141</v>
      </c>
      <c r="I8" s="1" t="s">
        <v>32</v>
      </c>
      <c r="J8">
        <f t="shared" si="0"/>
        <v>1</v>
      </c>
    </row>
    <row r="9" spans="1:10" x14ac:dyDescent="0.25">
      <c r="A9" s="8" t="s">
        <v>106</v>
      </c>
      <c r="B9" s="10" t="str">
        <f>RIGHT(A9, LEN(A9)-2)</f>
        <v>NB5L</v>
      </c>
      <c r="C9" s="15" t="str">
        <f>"XTCH"&amp;B9</f>
        <v>XTCHNB5L</v>
      </c>
      <c r="D9" s="7" t="s">
        <v>31</v>
      </c>
      <c r="E9" s="21" t="s">
        <v>172</v>
      </c>
      <c r="F9" s="24" t="s">
        <v>173</v>
      </c>
      <c r="H9" s="18" t="s">
        <v>141</v>
      </c>
      <c r="I9" s="1" t="s">
        <v>31</v>
      </c>
      <c r="J9">
        <f t="shared" si="0"/>
        <v>1</v>
      </c>
    </row>
    <row r="10" spans="1:10" x14ac:dyDescent="0.25">
      <c r="A10" s="8" t="s">
        <v>107</v>
      </c>
      <c r="B10" s="10" t="str">
        <f>RIGHT(A10, LEN(A10)-2)</f>
        <v>NB6L</v>
      </c>
      <c r="C10" s="15" t="str">
        <f>"XTCH"&amp;B10</f>
        <v>XTCHNB6L</v>
      </c>
      <c r="D10" s="7" t="s">
        <v>30</v>
      </c>
      <c r="E10" s="21" t="s">
        <v>174</v>
      </c>
      <c r="F10" s="24" t="s">
        <v>175</v>
      </c>
      <c r="H10" s="18" t="s">
        <v>141</v>
      </c>
      <c r="I10" s="1" t="s">
        <v>30</v>
      </c>
      <c r="J10">
        <f t="shared" si="0"/>
        <v>1</v>
      </c>
    </row>
    <row r="11" spans="1:10" x14ac:dyDescent="0.25">
      <c r="A11" s="8" t="s">
        <v>108</v>
      </c>
      <c r="B11" s="10" t="str">
        <f>RIGHT(A11, LEN(A11)-2)</f>
        <v>NB7L</v>
      </c>
      <c r="C11" s="15" t="str">
        <f>"XTCH"&amp;B11</f>
        <v>XTCHNB7L</v>
      </c>
      <c r="D11" s="7" t="s">
        <v>29</v>
      </c>
      <c r="E11" s="21" t="s">
        <v>176</v>
      </c>
      <c r="F11" s="24" t="s">
        <v>177</v>
      </c>
      <c r="H11" s="18" t="s">
        <v>141</v>
      </c>
      <c r="I11" s="1" t="s">
        <v>29</v>
      </c>
      <c r="J11">
        <f t="shared" si="0"/>
        <v>1</v>
      </c>
    </row>
    <row r="12" spans="1:10" x14ac:dyDescent="0.25">
      <c r="A12" s="8" t="s">
        <v>109</v>
      </c>
      <c r="B12" s="10" t="str">
        <f>RIGHT(A12, LEN(A12)-2)</f>
        <v>NB8L</v>
      </c>
      <c r="C12" s="15" t="str">
        <f>"XTCH"&amp;B12</f>
        <v>XTCHNB8L</v>
      </c>
      <c r="D12" s="7" t="s">
        <v>92</v>
      </c>
      <c r="E12" s="21" t="s">
        <v>178</v>
      </c>
      <c r="F12" s="24" t="s">
        <v>179</v>
      </c>
      <c r="H12" s="18" t="s">
        <v>141</v>
      </c>
      <c r="I12" s="1" t="s">
        <v>92</v>
      </c>
      <c r="J12">
        <f t="shared" si="0"/>
        <v>1</v>
      </c>
    </row>
    <row r="13" spans="1:10" x14ac:dyDescent="0.25">
      <c r="A13" s="8" t="s">
        <v>110</v>
      </c>
      <c r="B13" s="10" t="str">
        <f>RIGHT(A13, LEN(A13)-2)</f>
        <v>NB9L</v>
      </c>
      <c r="C13" s="15" t="str">
        <f>"XTCH"&amp;B13</f>
        <v>XTCHNB9L</v>
      </c>
      <c r="D13" s="7" t="s">
        <v>28</v>
      </c>
      <c r="E13" s="21" t="s">
        <v>180</v>
      </c>
      <c r="H13" s="18" t="s">
        <v>141</v>
      </c>
      <c r="I13" s="1" t="s">
        <v>28</v>
      </c>
      <c r="J13">
        <f t="shared" si="0"/>
        <v>1</v>
      </c>
    </row>
    <row r="14" spans="1:10" x14ac:dyDescent="0.25">
      <c r="A14" s="9" t="s">
        <v>111</v>
      </c>
      <c r="B14" s="10" t="str">
        <f>RIGHT(A14, LEN(A14)-2)</f>
        <v>NP45</v>
      </c>
      <c r="C14" s="15" t="str">
        <f>"XTCH"&amp;B14</f>
        <v>XTCHNP45</v>
      </c>
      <c r="D14" s="7" t="s">
        <v>25</v>
      </c>
      <c r="E14" s="21" t="s">
        <v>181</v>
      </c>
      <c r="H14" s="18" t="s">
        <v>141</v>
      </c>
      <c r="I14" s="1" t="s">
        <v>25</v>
      </c>
      <c r="J14">
        <f t="shared" si="0"/>
        <v>1</v>
      </c>
    </row>
    <row r="15" spans="1:10" x14ac:dyDescent="0.25">
      <c r="A15" s="9" t="s">
        <v>112</v>
      </c>
      <c r="B15" s="10" t="str">
        <f>RIGHT(A15, LEN(A15)-2)</f>
        <v>NP48</v>
      </c>
      <c r="C15" s="15" t="str">
        <f>"XTCH"&amp;B15</f>
        <v>XTCHNP48</v>
      </c>
      <c r="D15" s="7" t="s">
        <v>88</v>
      </c>
      <c r="E15" s="21" t="s">
        <v>182</v>
      </c>
      <c r="H15" s="18" t="s">
        <v>141</v>
      </c>
      <c r="I15" s="3" t="s">
        <v>88</v>
      </c>
      <c r="J15">
        <f t="shared" si="0"/>
        <v>1</v>
      </c>
    </row>
    <row r="16" spans="1:10" x14ac:dyDescent="0.25">
      <c r="A16" s="9" t="s">
        <v>113</v>
      </c>
      <c r="B16" s="10" t="str">
        <f>RIGHT(A16, LEN(A16)-2)</f>
        <v>NP50</v>
      </c>
      <c r="C16" s="15" t="str">
        <f>"XTCH"&amp;B16</f>
        <v>XTCHNP50</v>
      </c>
      <c r="D16" s="7" t="s">
        <v>24</v>
      </c>
      <c r="E16" s="21" t="s">
        <v>182</v>
      </c>
      <c r="H16" s="18" t="s">
        <v>141</v>
      </c>
      <c r="I16" s="1" t="s">
        <v>24</v>
      </c>
      <c r="J16">
        <f t="shared" si="0"/>
        <v>1</v>
      </c>
    </row>
    <row r="17" spans="1:10" x14ac:dyDescent="0.25">
      <c r="A17" s="9" t="s">
        <v>114</v>
      </c>
      <c r="B17" s="10" t="str">
        <f>RIGHT(A17, LEN(A17)-2)</f>
        <v>NP85</v>
      </c>
      <c r="C17" s="15" t="str">
        <f>"XTCH"&amp;B17</f>
        <v>XTCHNP85</v>
      </c>
      <c r="D17" s="7" t="s">
        <v>23</v>
      </c>
      <c r="E17" s="21" t="s">
        <v>183</v>
      </c>
      <c r="H17" s="18" t="s">
        <v>141</v>
      </c>
      <c r="I17" s="1" t="s">
        <v>23</v>
      </c>
      <c r="J17">
        <f t="shared" si="0"/>
        <v>1</v>
      </c>
    </row>
    <row r="18" spans="1:10" x14ac:dyDescent="0.25">
      <c r="A18" s="9" t="s">
        <v>115</v>
      </c>
      <c r="B18" s="10" t="str">
        <f>RIGHT(A18, LEN(A18)-2)</f>
        <v>NP95</v>
      </c>
      <c r="C18" s="15" t="str">
        <f>"XTCH"&amp;B18</f>
        <v>XTCHNP95</v>
      </c>
      <c r="D18" s="7" t="s">
        <v>22</v>
      </c>
      <c r="E18" s="21" t="s">
        <v>184</v>
      </c>
      <c r="F18" s="24" t="s">
        <v>185</v>
      </c>
      <c r="H18" s="18" t="s">
        <v>141</v>
      </c>
      <c r="I18" s="1" t="s">
        <v>22</v>
      </c>
      <c r="J18">
        <f t="shared" si="0"/>
        <v>1</v>
      </c>
    </row>
    <row r="19" spans="1:10" x14ac:dyDescent="0.25">
      <c r="A19" s="9" t="s">
        <v>116</v>
      </c>
      <c r="B19" s="10" t="str">
        <f>RIGHT(A19, LEN(A19)-2)</f>
        <v>NPBG1</v>
      </c>
      <c r="C19" s="15" t="str">
        <f>"XTCH"&amp;B19</f>
        <v>XTCHNPBG1</v>
      </c>
      <c r="D19" s="7" t="s">
        <v>2</v>
      </c>
      <c r="E19" s="21" t="s">
        <v>186</v>
      </c>
      <c r="F19" s="24" t="s">
        <v>187</v>
      </c>
      <c r="H19" s="18" t="s">
        <v>141</v>
      </c>
      <c r="I19" s="1" t="s">
        <v>2</v>
      </c>
      <c r="J19">
        <f t="shared" si="0"/>
        <v>1</v>
      </c>
    </row>
    <row r="20" spans="1:10" x14ac:dyDescent="0.25">
      <c r="A20" s="9" t="s">
        <v>117</v>
      </c>
      <c r="B20" s="10" t="str">
        <f>RIGHT(A20, LEN(A20)-2)</f>
        <v>NPBN1</v>
      </c>
      <c r="C20" s="15" t="str">
        <f>"XTCH"&amp;B20</f>
        <v>XTCHNPBN1</v>
      </c>
      <c r="D20" s="7" t="s">
        <v>20</v>
      </c>
      <c r="E20" s="21" t="s">
        <v>188</v>
      </c>
      <c r="F20" s="24" t="s">
        <v>189</v>
      </c>
      <c r="H20" s="18" t="s">
        <v>141</v>
      </c>
      <c r="I20" s="1" t="s">
        <v>20</v>
      </c>
      <c r="J20">
        <f t="shared" si="0"/>
        <v>1</v>
      </c>
    </row>
    <row r="21" spans="1:10" x14ac:dyDescent="0.25">
      <c r="A21" s="9" t="s">
        <v>118</v>
      </c>
      <c r="B21" s="10" t="str">
        <f>RIGHT(A21, LEN(A21)-2)</f>
        <v>NPBX1</v>
      </c>
      <c r="C21" s="15" t="str">
        <f>"XTCH"&amp;B21</f>
        <v>XTCHNPBX1</v>
      </c>
      <c r="D21" s="7" t="s">
        <v>19</v>
      </c>
      <c r="E21" s="21" t="s">
        <v>190</v>
      </c>
      <c r="F21" s="24" t="s">
        <v>191</v>
      </c>
      <c r="H21" s="18" t="s">
        <v>141</v>
      </c>
      <c r="I21" s="1" t="s">
        <v>19</v>
      </c>
      <c r="J21">
        <f t="shared" si="0"/>
        <v>1</v>
      </c>
    </row>
    <row r="22" spans="1:10" x14ac:dyDescent="0.25">
      <c r="A22" s="9" t="s">
        <v>119</v>
      </c>
      <c r="B22" s="10" t="str">
        <f>RIGHT(A22, LEN(A22)-2)</f>
        <v>NPF975</v>
      </c>
      <c r="C22" s="15" t="str">
        <f>"XTCH"&amp;B22</f>
        <v>XTCHNPF975</v>
      </c>
      <c r="D22" s="7" t="s">
        <v>0</v>
      </c>
      <c r="E22" s="21" t="s">
        <v>192</v>
      </c>
      <c r="H22" s="18" t="s">
        <v>141</v>
      </c>
      <c r="I22" s="1" t="s">
        <v>0</v>
      </c>
      <c r="J22">
        <f t="shared" si="0"/>
        <v>1</v>
      </c>
    </row>
    <row r="23" spans="1:10" x14ac:dyDescent="0.25">
      <c r="A23" s="9" t="s">
        <v>120</v>
      </c>
      <c r="B23" s="10" t="str">
        <f>RIGHT(A23, LEN(A23)-2)</f>
        <v>NPFH50</v>
      </c>
      <c r="C23" s="15" t="str">
        <f>"XTCH"&amp;B23</f>
        <v>XTCHNPFH50</v>
      </c>
      <c r="D23" s="7" t="s">
        <v>21</v>
      </c>
      <c r="E23" s="21" t="s">
        <v>192</v>
      </c>
      <c r="F23" s="24" t="s">
        <v>193</v>
      </c>
      <c r="H23" s="18" t="s">
        <v>141</v>
      </c>
      <c r="I23" s="1" t="s">
        <v>21</v>
      </c>
      <c r="J23">
        <f t="shared" si="0"/>
        <v>1</v>
      </c>
    </row>
    <row r="24" spans="1:10" x14ac:dyDescent="0.25">
      <c r="A24" s="9" t="s">
        <v>121</v>
      </c>
      <c r="B24" s="10" t="str">
        <f>RIGHT(A24, LEN(A24)-2)</f>
        <v>NPFM500H</v>
      </c>
      <c r="C24" s="15" t="str">
        <f>"XTCH"&amp;B24</f>
        <v>XTCHNPFM500H</v>
      </c>
      <c r="D24" s="7" t="s">
        <v>1</v>
      </c>
      <c r="E24" s="21" t="s">
        <v>194</v>
      </c>
      <c r="F24" s="24" t="s">
        <v>195</v>
      </c>
      <c r="H24" s="18" t="s">
        <v>141</v>
      </c>
      <c r="I24" s="1" t="s">
        <v>1</v>
      </c>
      <c r="J24">
        <f t="shared" si="0"/>
        <v>1</v>
      </c>
    </row>
    <row r="25" spans="1:10" x14ac:dyDescent="0.25">
      <c r="A25" s="9" t="s">
        <v>122</v>
      </c>
      <c r="B25" s="10" t="str">
        <f>RIGHT(A25, LEN(A25)-2)</f>
        <v>NPFV100</v>
      </c>
      <c r="C25" s="15" t="str">
        <f>"XTCH"&amp;B25</f>
        <v>XTCHNPFV100</v>
      </c>
      <c r="D25" s="7" t="s">
        <v>15</v>
      </c>
      <c r="E25" s="21" t="s">
        <v>196</v>
      </c>
      <c r="F25" s="24" t="s">
        <v>197</v>
      </c>
      <c r="H25" s="18" t="s">
        <v>141</v>
      </c>
      <c r="I25" s="1" t="s">
        <v>15</v>
      </c>
      <c r="J25">
        <f t="shared" si="0"/>
        <v>1</v>
      </c>
    </row>
    <row r="26" spans="1:10" x14ac:dyDescent="0.25">
      <c r="A26" s="9" t="s">
        <v>123</v>
      </c>
      <c r="B26" s="10" t="str">
        <f>RIGHT(A26, LEN(A26)-2)</f>
        <v>NPFV50</v>
      </c>
      <c r="C26" s="15" t="str">
        <f>"XTCH"&amp;B26</f>
        <v>XTCHNPFV50</v>
      </c>
      <c r="D26" s="7" t="s">
        <v>3</v>
      </c>
      <c r="E26" s="21" t="s">
        <v>198</v>
      </c>
      <c r="F26" s="24" t="s">
        <v>199</v>
      </c>
      <c r="H26" s="18" t="s">
        <v>141</v>
      </c>
      <c r="I26" s="1" t="s">
        <v>3</v>
      </c>
      <c r="J26">
        <f t="shared" si="0"/>
        <v>1</v>
      </c>
    </row>
    <row r="27" spans="1:10" x14ac:dyDescent="0.25">
      <c r="A27" s="9" t="s">
        <v>124</v>
      </c>
      <c r="B27" s="10" t="str">
        <f>RIGHT(A27, LEN(A27)-2)</f>
        <v>NPFV70</v>
      </c>
      <c r="C27" s="15" t="str">
        <f>"XTCH"&amp;B27</f>
        <v>XTCHNPFV70</v>
      </c>
      <c r="D27" s="7" t="s">
        <v>17</v>
      </c>
      <c r="E27" s="21" t="s">
        <v>196</v>
      </c>
      <c r="F27" s="24" t="s">
        <v>200</v>
      </c>
      <c r="H27" s="18" t="s">
        <v>141</v>
      </c>
      <c r="I27" s="1" t="s">
        <v>17</v>
      </c>
      <c r="J27">
        <f t="shared" si="0"/>
        <v>1</v>
      </c>
    </row>
    <row r="28" spans="1:10" x14ac:dyDescent="0.25">
      <c r="A28" s="9" t="s">
        <v>125</v>
      </c>
      <c r="B28" s="10" t="str">
        <f>RIGHT(A28, LEN(A28)-2)</f>
        <v>NPFW50</v>
      </c>
      <c r="C28" s="15" t="str">
        <f>"XTCH"&amp;B28</f>
        <v>XTCHNPFW50</v>
      </c>
      <c r="D28" s="7" t="s">
        <v>16</v>
      </c>
      <c r="E28" s="21" t="s">
        <v>201</v>
      </c>
      <c r="H28" s="18" t="s">
        <v>141</v>
      </c>
      <c r="I28" s="1" t="s">
        <v>16</v>
      </c>
      <c r="J28">
        <f t="shared" si="0"/>
        <v>1</v>
      </c>
    </row>
    <row r="29" spans="1:10" x14ac:dyDescent="0.25">
      <c r="A29" s="9" t="s">
        <v>126</v>
      </c>
      <c r="B29" s="10" t="str">
        <f>RIGHT(A29, LEN(A29)-2)</f>
        <v>NPW126</v>
      </c>
      <c r="C29" s="15" t="str">
        <f>"XTCH"&amp;B29</f>
        <v>XTCHNPW126</v>
      </c>
      <c r="D29" s="7" t="s">
        <v>14</v>
      </c>
      <c r="E29" s="21" t="s">
        <v>202</v>
      </c>
      <c r="F29" s="24" t="s">
        <v>203</v>
      </c>
      <c r="H29" s="18" t="s">
        <v>141</v>
      </c>
      <c r="I29" s="1" t="s">
        <v>14</v>
      </c>
      <c r="J29">
        <f t="shared" si="0"/>
        <v>1</v>
      </c>
    </row>
    <row r="30" spans="1:10" x14ac:dyDescent="0.25">
      <c r="A30" s="9" t="s">
        <v>127</v>
      </c>
      <c r="B30" s="10" t="str">
        <f>RIGHT(A30, LEN(A30)-2)</f>
        <v>SLB10A</v>
      </c>
      <c r="C30" s="15" t="str">
        <f>"XTCH"&amp;B30</f>
        <v>XTCHSLB10A</v>
      </c>
      <c r="D30" s="7" t="s">
        <v>33</v>
      </c>
      <c r="E30" s="21" t="s">
        <v>204</v>
      </c>
      <c r="F30" s="24" t="s">
        <v>205</v>
      </c>
      <c r="H30" s="18" t="s">
        <v>141</v>
      </c>
      <c r="I30" s="1" t="s">
        <v>33</v>
      </c>
      <c r="J30">
        <f t="shared" si="0"/>
        <v>1</v>
      </c>
    </row>
    <row r="31" spans="1:10" x14ac:dyDescent="0.25">
      <c r="A31" s="9" t="s">
        <v>128</v>
      </c>
      <c r="B31" s="10" t="str">
        <f>RIGHT(A31, LEN(A31)-2)</f>
        <v>VBG260</v>
      </c>
      <c r="C31" s="15" t="str">
        <f>"XTCH"&amp;B31</f>
        <v>XTCHVBG260</v>
      </c>
      <c r="D31" s="7" t="s">
        <v>13</v>
      </c>
      <c r="E31" s="21" t="s">
        <v>206</v>
      </c>
      <c r="F31" s="24" t="s">
        <v>207</v>
      </c>
      <c r="H31" s="18" t="s">
        <v>141</v>
      </c>
      <c r="I31" s="1" t="s">
        <v>13</v>
      </c>
      <c r="J31">
        <f t="shared" si="0"/>
        <v>1</v>
      </c>
    </row>
    <row r="32" spans="1:10" x14ac:dyDescent="0.25">
      <c r="A32" s="9" t="s">
        <v>129</v>
      </c>
      <c r="B32" s="10" t="str">
        <f>RIGHT(A32, LEN(A32)-2)</f>
        <v>VBG6</v>
      </c>
      <c r="C32" s="15" t="str">
        <f>"XTCH"&amp;B32</f>
        <v>XTCHVBG6</v>
      </c>
      <c r="D32" s="7" t="s">
        <v>12</v>
      </c>
      <c r="E32" s="21" t="s">
        <v>208</v>
      </c>
      <c r="F32" s="24" t="s">
        <v>209</v>
      </c>
      <c r="H32" s="18" t="s">
        <v>141</v>
      </c>
      <c r="I32" s="1" t="s">
        <v>12</v>
      </c>
      <c r="J32">
        <f t="shared" si="0"/>
        <v>1</v>
      </c>
    </row>
    <row r="33" spans="1:10" x14ac:dyDescent="0.25">
      <c r="A33" s="9" t="s">
        <v>130</v>
      </c>
      <c r="B33" s="10" t="str">
        <f>RIGHT(A33, LEN(A33)-2)</f>
        <v>VBK180</v>
      </c>
      <c r="C33" s="15" t="str">
        <f>"XTCH"&amp;B33</f>
        <v>XTCHVBK180</v>
      </c>
      <c r="D33" s="7" t="s">
        <v>10</v>
      </c>
      <c r="E33" s="21" t="s">
        <v>210</v>
      </c>
      <c r="F33" s="24" t="s">
        <v>211</v>
      </c>
      <c r="H33" s="18" t="s">
        <v>141</v>
      </c>
      <c r="I33" s="1" t="s">
        <v>10</v>
      </c>
      <c r="J33">
        <f t="shared" si="0"/>
        <v>1</v>
      </c>
    </row>
    <row r="34" spans="1:10" x14ac:dyDescent="0.25">
      <c r="A34" s="9" t="s">
        <v>131</v>
      </c>
      <c r="B34" s="10" t="str">
        <f>RIGHT(A34, LEN(A34)-2)</f>
        <v>VBK360</v>
      </c>
      <c r="C34" s="15" t="str">
        <f>"XTCH"&amp;B34</f>
        <v>XTCHVBK360</v>
      </c>
      <c r="D34" s="7" t="s">
        <v>11</v>
      </c>
      <c r="E34" s="21" t="s">
        <v>210</v>
      </c>
      <c r="F34" s="24" t="s">
        <v>211</v>
      </c>
      <c r="H34" s="18" t="s">
        <v>141</v>
      </c>
      <c r="I34" s="1" t="s">
        <v>11</v>
      </c>
      <c r="J34">
        <f t="shared" si="0"/>
        <v>1</v>
      </c>
    </row>
    <row r="35" spans="1:10" x14ac:dyDescent="0.25">
      <c r="A35" s="9" t="s">
        <v>132</v>
      </c>
      <c r="B35" s="10" t="str">
        <f>RIGHT(A35, LEN(A35)-2)</f>
        <v>VBN130</v>
      </c>
      <c r="C35" s="15" t="str">
        <f>"XTCH"&amp;B35</f>
        <v>XTCHVBN130</v>
      </c>
      <c r="D35" s="7" t="s">
        <v>9</v>
      </c>
      <c r="E35" s="21" t="s">
        <v>212</v>
      </c>
      <c r="F35" s="24" t="s">
        <v>213</v>
      </c>
      <c r="H35" s="18" t="s">
        <v>141</v>
      </c>
      <c r="I35" s="1" t="s">
        <v>9</v>
      </c>
      <c r="J35">
        <f t="shared" si="0"/>
        <v>1</v>
      </c>
    </row>
    <row r="36" spans="1:10" x14ac:dyDescent="0.25">
      <c r="A36" s="9" t="s">
        <v>133</v>
      </c>
      <c r="B36" s="10" t="str">
        <f>RIGHT(A36, LEN(A36)-2)</f>
        <v>VBN260</v>
      </c>
      <c r="C36" s="15" t="str">
        <f>"XTCH"&amp;B36</f>
        <v>XTCHVBN260</v>
      </c>
      <c r="D36" s="7" t="s">
        <v>8</v>
      </c>
      <c r="E36" s="21" t="s">
        <v>212</v>
      </c>
      <c r="F36" s="24" t="s">
        <v>214</v>
      </c>
      <c r="H36" s="18" t="s">
        <v>141</v>
      </c>
      <c r="I36" s="1" t="s">
        <v>8</v>
      </c>
      <c r="J36">
        <f t="shared" si="0"/>
        <v>1</v>
      </c>
    </row>
    <row r="37" spans="1:10" x14ac:dyDescent="0.25">
      <c r="A37" s="9" t="s">
        <v>134</v>
      </c>
      <c r="B37" s="10" t="str">
        <f>RIGHT(A37, LEN(A37)-2)</f>
        <v>VF815</v>
      </c>
      <c r="C37" s="15" t="str">
        <f>"XTCH"&amp;B37</f>
        <v>XTCHVF815</v>
      </c>
      <c r="D37" s="7" t="s">
        <v>7</v>
      </c>
      <c r="E37" s="21" t="s">
        <v>215</v>
      </c>
      <c r="F37" s="24" t="s">
        <v>216</v>
      </c>
      <c r="H37" s="18" t="s">
        <v>141</v>
      </c>
      <c r="I37" s="1" t="s">
        <v>7</v>
      </c>
      <c r="J37">
        <f t="shared" si="0"/>
        <v>1</v>
      </c>
    </row>
    <row r="38" spans="1:10" x14ac:dyDescent="0.25">
      <c r="A38" s="9" t="s">
        <v>135</v>
      </c>
      <c r="B38" s="10" t="str">
        <f>RIGHT(A38, LEN(A38)-2)</f>
        <v>VF823</v>
      </c>
      <c r="C38" s="15" t="str">
        <f>"XTCH"&amp;B38</f>
        <v>XTCHVF823</v>
      </c>
      <c r="D38" s="7" t="s">
        <v>6</v>
      </c>
      <c r="E38" s="21" t="s">
        <v>217</v>
      </c>
      <c r="F38" s="24" t="s">
        <v>218</v>
      </c>
      <c r="H38" s="18" t="s">
        <v>141</v>
      </c>
      <c r="I38" s="1" t="s">
        <v>6</v>
      </c>
      <c r="J38">
        <f t="shared" si="0"/>
        <v>1</v>
      </c>
    </row>
    <row r="39" spans="1:10" x14ac:dyDescent="0.25">
      <c r="A39" s="9" t="s">
        <v>136</v>
      </c>
      <c r="B39" s="10" t="str">
        <f>RIGHT(A39, LEN(A39)-2)</f>
        <v>VG121</v>
      </c>
      <c r="C39" s="15" t="str">
        <f>"XTCH"&amp;B39</f>
        <v>XTCHVG121</v>
      </c>
      <c r="D39" s="7" t="s">
        <v>5</v>
      </c>
      <c r="E39" s="21" t="s">
        <v>219</v>
      </c>
      <c r="F39" s="24" t="s">
        <v>220</v>
      </c>
      <c r="H39" s="18" t="s">
        <v>141</v>
      </c>
      <c r="I39" s="1" t="s">
        <v>5</v>
      </c>
      <c r="J39">
        <f t="shared" si="0"/>
        <v>1</v>
      </c>
    </row>
    <row r="40" spans="1:10" x14ac:dyDescent="0.25">
      <c r="A40" s="9" t="s">
        <v>137</v>
      </c>
      <c r="B40" s="10" t="str">
        <f>RIGHT(A40, LEN(A40)-2)</f>
        <v>VG138</v>
      </c>
      <c r="C40" s="15" t="str">
        <f>"XTCH"&amp;B40</f>
        <v>XTCHVG138</v>
      </c>
      <c r="D40" s="7" t="s">
        <v>4</v>
      </c>
      <c r="E40" s="21" t="s">
        <v>221</v>
      </c>
      <c r="F40" s="24" t="s">
        <v>222</v>
      </c>
      <c r="H40" s="18" t="s">
        <v>141</v>
      </c>
      <c r="I40" s="1" t="s">
        <v>4</v>
      </c>
      <c r="J40">
        <f t="shared" si="0"/>
        <v>1</v>
      </c>
    </row>
    <row r="42" spans="1:10" x14ac:dyDescent="0.25">
      <c r="A42" s="9" t="s">
        <v>99</v>
      </c>
      <c r="B42" s="10" t="str">
        <f>RIGHT(A42, LEN(A42)-2)</f>
        <v>BCF10</v>
      </c>
      <c r="C42" s="15" t="str">
        <f>"XTCH"&amp;B42</f>
        <v>XTCHBCF10</v>
      </c>
      <c r="D42" s="7" t="s">
        <v>90</v>
      </c>
      <c r="E42" s="21" t="s">
        <v>223</v>
      </c>
      <c r="F42" s="24" t="s">
        <v>224</v>
      </c>
      <c r="H42" s="18" t="s">
        <v>141</v>
      </c>
      <c r="I42" s="1" t="s">
        <v>686</v>
      </c>
      <c r="J42" t="str">
        <f>IF(ISERROR(MATCH(B42,I42,0)),"",1)</f>
        <v/>
      </c>
    </row>
    <row r="43" spans="1:10" x14ac:dyDescent="0.25">
      <c r="A43" s="9" t="s">
        <v>100</v>
      </c>
      <c r="B43" s="10" t="str">
        <f>RIGHT(A43, LEN(A43)-2)</f>
        <v>BP1130</v>
      </c>
      <c r="C43" s="15" t="str">
        <f>"XTCH"&amp;B43</f>
        <v>XTCHBP1130</v>
      </c>
      <c r="D43" s="7" t="s">
        <v>91</v>
      </c>
      <c r="E43" s="21" t="s">
        <v>225</v>
      </c>
      <c r="F43" s="24" t="s">
        <v>226</v>
      </c>
      <c r="H43" s="18" t="s">
        <v>141</v>
      </c>
      <c r="I43" s="2" t="s">
        <v>373</v>
      </c>
      <c r="J43" t="str">
        <f>IF(ISERROR(MATCH(B43,I43,0)),"",1)</f>
        <v/>
      </c>
    </row>
    <row r="44" spans="1:10" x14ac:dyDescent="0.25">
      <c r="A44" s="9" t="s">
        <v>101</v>
      </c>
      <c r="B44" s="10" t="str">
        <f>RIGHT(A44, LEN(A44)-2)</f>
        <v>ENEL23</v>
      </c>
      <c r="C44" s="15" t="str">
        <f>"XTCH"&amp;B44</f>
        <v>XTCHENEL23</v>
      </c>
      <c r="D44" s="7" t="s">
        <v>89</v>
      </c>
      <c r="E44" s="21" t="s">
        <v>227</v>
      </c>
      <c r="F44" s="24" t="s">
        <v>228</v>
      </c>
      <c r="H44" s="18" t="s">
        <v>141</v>
      </c>
      <c r="I44" s="2" t="s">
        <v>374</v>
      </c>
      <c r="J44" t="str">
        <f>IF(ISERROR(MATCH(B44,I44,0)),"",1)</f>
        <v/>
      </c>
    </row>
    <row r="45" spans="1:10" x14ac:dyDescent="0.25">
      <c r="A45" s="9" t="s">
        <v>102</v>
      </c>
      <c r="B45" s="10" t="str">
        <f>RIGHT(A45, LEN(A45)-2)</f>
        <v>NB10L</v>
      </c>
      <c r="C45" s="15" t="str">
        <f>"XTCH"&amp;B45</f>
        <v>XTCHNB10L</v>
      </c>
      <c r="D45" s="7" t="s">
        <v>27</v>
      </c>
      <c r="E45" s="21" t="s">
        <v>229</v>
      </c>
      <c r="F45" s="24" t="s">
        <v>230</v>
      </c>
      <c r="H45" s="18" t="s">
        <v>141</v>
      </c>
      <c r="I45" s="1" t="s">
        <v>375</v>
      </c>
      <c r="J45" t="str">
        <f>IF(ISERROR(MATCH(B45,I45,0)),"",1)</f>
        <v/>
      </c>
    </row>
    <row r="46" spans="1:10" x14ac:dyDescent="0.25">
      <c r="A46" s="9" t="s">
        <v>103</v>
      </c>
      <c r="B46" s="10" t="str">
        <f>RIGHT(A46, LEN(A46)-2)</f>
        <v>NB11L</v>
      </c>
      <c r="C46" s="15" t="str">
        <f>"XTCH"&amp;B46</f>
        <v>XTCHNB11L</v>
      </c>
      <c r="D46" s="7" t="s">
        <v>26</v>
      </c>
      <c r="E46" s="21" t="s">
        <v>231</v>
      </c>
      <c r="F46" s="24" t="s">
        <v>232</v>
      </c>
      <c r="H46" s="18" t="s">
        <v>141</v>
      </c>
      <c r="I46" s="1" t="s">
        <v>376</v>
      </c>
      <c r="J46" t="str">
        <f>IF(ISERROR(MATCH(B46,I46,0)),"",1)</f>
        <v/>
      </c>
    </row>
    <row r="47" spans="1:10" x14ac:dyDescent="0.25">
      <c r="A47" s="9" t="s">
        <v>104</v>
      </c>
      <c r="B47" s="10" t="str">
        <f>RIGHT(A47, LEN(A47)-2)</f>
        <v>NB2LH</v>
      </c>
      <c r="C47" s="15" t="str">
        <f>"XTCH"&amp;B47</f>
        <v>XTCHNB2LH</v>
      </c>
      <c r="D47" s="7" t="s">
        <v>18</v>
      </c>
      <c r="E47" s="21" t="s">
        <v>233</v>
      </c>
      <c r="F47" s="24" t="s">
        <v>234</v>
      </c>
      <c r="H47" s="18" t="s">
        <v>141</v>
      </c>
      <c r="I47" s="1" t="s">
        <v>377</v>
      </c>
      <c r="J47" t="str">
        <f>IF(ISERROR(MATCH(B47,I47,0)),"",1)</f>
        <v/>
      </c>
    </row>
    <row r="48" spans="1:10" x14ac:dyDescent="0.25">
      <c r="A48" s="9" t="s">
        <v>105</v>
      </c>
      <c r="B48" s="10" t="str">
        <f>RIGHT(A48, LEN(A48)-2)</f>
        <v>NB4L</v>
      </c>
      <c r="C48" s="15" t="str">
        <f>"XTCH"&amp;B48</f>
        <v>XTCHNB4L</v>
      </c>
      <c r="D48" s="7" t="s">
        <v>32</v>
      </c>
      <c r="E48" s="21" t="s">
        <v>170</v>
      </c>
      <c r="F48" s="24" t="s">
        <v>235</v>
      </c>
      <c r="H48" s="18" t="s">
        <v>141</v>
      </c>
      <c r="I48" s="1" t="s">
        <v>378</v>
      </c>
      <c r="J48" t="str">
        <f>IF(ISERROR(MATCH(B48,I48,0)),"",1)</f>
        <v/>
      </c>
    </row>
    <row r="49" spans="1:10" x14ac:dyDescent="0.25">
      <c r="A49" s="9" t="s">
        <v>106</v>
      </c>
      <c r="B49" s="10" t="str">
        <f>RIGHT(A49, LEN(A49)-2)</f>
        <v>NB5L</v>
      </c>
      <c r="C49" s="15" t="str">
        <f>"XTCH"&amp;B49</f>
        <v>XTCHNB5L</v>
      </c>
      <c r="D49" s="7" t="s">
        <v>31</v>
      </c>
      <c r="E49" s="21" t="s">
        <v>236</v>
      </c>
      <c r="F49" s="24" t="s">
        <v>237</v>
      </c>
      <c r="H49" s="18" t="s">
        <v>141</v>
      </c>
      <c r="I49" s="1" t="s">
        <v>379</v>
      </c>
      <c r="J49" t="str">
        <f>IF(ISERROR(MATCH(B49,I49,0)),"",1)</f>
        <v/>
      </c>
    </row>
    <row r="50" spans="1:10" x14ac:dyDescent="0.25">
      <c r="A50" s="9" t="s">
        <v>107</v>
      </c>
      <c r="B50" s="10" t="str">
        <f>RIGHT(A50, LEN(A50)-2)</f>
        <v>NB6L</v>
      </c>
      <c r="C50" s="15" t="str">
        <f>"XTCH"&amp;B50</f>
        <v>XTCHNB6L</v>
      </c>
      <c r="D50" s="7" t="s">
        <v>30</v>
      </c>
      <c r="E50" s="21" t="s">
        <v>238</v>
      </c>
      <c r="F50" s="24" t="s">
        <v>239</v>
      </c>
      <c r="H50" s="18" t="s">
        <v>141</v>
      </c>
      <c r="I50" s="1" t="s">
        <v>380</v>
      </c>
      <c r="J50" t="str">
        <f>IF(ISERROR(MATCH(B50,I50,0)),"",1)</f>
        <v/>
      </c>
    </row>
    <row r="51" spans="1:10" x14ac:dyDescent="0.25">
      <c r="A51" s="9" t="s">
        <v>108</v>
      </c>
      <c r="B51" s="10" t="str">
        <f>RIGHT(A51, LEN(A51)-2)</f>
        <v>NB7L</v>
      </c>
      <c r="C51" s="15" t="str">
        <f>"XTCH"&amp;B51</f>
        <v>XTCHNB7L</v>
      </c>
      <c r="D51" s="7" t="s">
        <v>29</v>
      </c>
      <c r="E51" s="21" t="s">
        <v>240</v>
      </c>
      <c r="F51" s="24" t="s">
        <v>241</v>
      </c>
      <c r="H51" s="18" t="s">
        <v>141</v>
      </c>
      <c r="I51" s="1" t="s">
        <v>381</v>
      </c>
      <c r="J51" t="str">
        <f>IF(ISERROR(MATCH(B51,I51,0)),"",1)</f>
        <v/>
      </c>
    </row>
    <row r="52" spans="1:10" x14ac:dyDescent="0.25">
      <c r="A52" s="9" t="s">
        <v>109</v>
      </c>
      <c r="B52" s="10" t="str">
        <f>RIGHT(A52, LEN(A52)-2)</f>
        <v>NB8L</v>
      </c>
      <c r="C52" s="15" t="str">
        <f>"XTCH"&amp;B52</f>
        <v>XTCHNB8L</v>
      </c>
      <c r="D52" s="7" t="s">
        <v>92</v>
      </c>
      <c r="E52" s="21" t="s">
        <v>242</v>
      </c>
      <c r="F52" s="24" t="s">
        <v>243</v>
      </c>
      <c r="H52" s="18" t="s">
        <v>141</v>
      </c>
      <c r="I52" s="1" t="s">
        <v>382</v>
      </c>
      <c r="J52" t="str">
        <f>IF(ISERROR(MATCH(B52,I52,0)),"",1)</f>
        <v/>
      </c>
    </row>
    <row r="53" spans="1:10" x14ac:dyDescent="0.25">
      <c r="A53" s="9" t="s">
        <v>110</v>
      </c>
      <c r="B53" s="10" t="str">
        <f>RIGHT(A53, LEN(A53)-2)</f>
        <v>NB9L</v>
      </c>
      <c r="C53" s="15" t="str">
        <f>"XTCH"&amp;B53</f>
        <v>XTCHNB9L</v>
      </c>
      <c r="D53" s="7" t="s">
        <v>28</v>
      </c>
      <c r="E53" s="21" t="s">
        <v>244</v>
      </c>
      <c r="F53" s="24" t="s">
        <v>245</v>
      </c>
      <c r="H53" s="18" t="s">
        <v>141</v>
      </c>
      <c r="I53" s="1" t="s">
        <v>383</v>
      </c>
      <c r="J53" t="str">
        <f>IF(ISERROR(MATCH(B53,I53,0)),"",1)</f>
        <v/>
      </c>
    </row>
    <row r="54" spans="1:10" x14ac:dyDescent="0.25">
      <c r="A54" s="9" t="s">
        <v>111</v>
      </c>
      <c r="B54" s="10" t="str">
        <f>RIGHT(A54, LEN(A54)-2)</f>
        <v>NP45</v>
      </c>
      <c r="C54" s="15" t="str">
        <f>"XTCH"&amp;B54</f>
        <v>XTCHNP45</v>
      </c>
      <c r="D54" s="7" t="s">
        <v>25</v>
      </c>
      <c r="E54" s="21" t="s">
        <v>246</v>
      </c>
      <c r="F54" s="24" t="s">
        <v>247</v>
      </c>
      <c r="H54" s="18" t="s">
        <v>141</v>
      </c>
      <c r="I54" s="1" t="s">
        <v>687</v>
      </c>
      <c r="J54" t="str">
        <f>IF(ISERROR(MATCH(B54,I54,0)),"",1)</f>
        <v/>
      </c>
    </row>
    <row r="55" spans="1:10" x14ac:dyDescent="0.25">
      <c r="A55" s="9" t="s">
        <v>112</v>
      </c>
      <c r="B55" s="10" t="str">
        <f>RIGHT(A55, LEN(A55)-2)</f>
        <v>NP48</v>
      </c>
      <c r="C55" s="15" t="str">
        <f>"XTCH"&amp;B55</f>
        <v>XTCHNP48</v>
      </c>
      <c r="D55" s="7" t="s">
        <v>88</v>
      </c>
      <c r="E55" s="21" t="s">
        <v>248</v>
      </c>
      <c r="F55" s="24" t="s">
        <v>249</v>
      </c>
      <c r="H55" s="18" t="s">
        <v>141</v>
      </c>
      <c r="I55" s="1" t="s">
        <v>384</v>
      </c>
      <c r="J55" t="str">
        <f>IF(ISERROR(MATCH(B55,I55,0)),"",1)</f>
        <v/>
      </c>
    </row>
    <row r="56" spans="1:10" x14ac:dyDescent="0.25">
      <c r="A56" s="9" t="s">
        <v>113</v>
      </c>
      <c r="B56" s="10" t="str">
        <f>RIGHT(A56, LEN(A56)-2)</f>
        <v>NP50</v>
      </c>
      <c r="C56" s="15" t="str">
        <f>"XTCH"&amp;B56</f>
        <v>XTCHNP50</v>
      </c>
      <c r="D56" s="7" t="s">
        <v>24</v>
      </c>
      <c r="E56" s="21" t="s">
        <v>250</v>
      </c>
      <c r="F56" s="24" t="s">
        <v>251</v>
      </c>
      <c r="H56" s="18" t="s">
        <v>141</v>
      </c>
      <c r="I56" s="1" t="s">
        <v>688</v>
      </c>
      <c r="J56" t="str">
        <f>IF(ISERROR(MATCH(B56,I56,0)),"",1)</f>
        <v/>
      </c>
    </row>
    <row r="57" spans="1:10" x14ac:dyDescent="0.25">
      <c r="A57" s="9" t="s">
        <v>114</v>
      </c>
      <c r="B57" s="10" t="str">
        <f>RIGHT(A57, LEN(A57)-2)</f>
        <v>NP85</v>
      </c>
      <c r="C57" s="15" t="str">
        <f>"XTCH"&amp;B57</f>
        <v>XTCHNP85</v>
      </c>
      <c r="D57" s="7" t="s">
        <v>23</v>
      </c>
      <c r="E57" s="21" t="s">
        <v>253</v>
      </c>
      <c r="F57" s="24" t="s">
        <v>252</v>
      </c>
      <c r="H57" s="18" t="s">
        <v>141</v>
      </c>
      <c r="I57" s="1" t="s">
        <v>385</v>
      </c>
      <c r="J57" t="str">
        <f>IF(ISERROR(MATCH(B57,I57,0)),"",1)</f>
        <v/>
      </c>
    </row>
    <row r="58" spans="1:10" x14ac:dyDescent="0.25">
      <c r="A58" s="9" t="s">
        <v>115</v>
      </c>
      <c r="B58" s="10" t="str">
        <f>RIGHT(A58, LEN(A58)-2)</f>
        <v>NP95</v>
      </c>
      <c r="C58" s="15" t="str">
        <f>"XTCH"&amp;B58</f>
        <v>XTCHNP95</v>
      </c>
      <c r="D58" s="7" t="s">
        <v>22</v>
      </c>
      <c r="E58" s="21" t="s">
        <v>254</v>
      </c>
      <c r="F58" s="24" t="s">
        <v>185</v>
      </c>
      <c r="H58" s="18" t="s">
        <v>141</v>
      </c>
      <c r="I58" s="1" t="s">
        <v>388</v>
      </c>
      <c r="J58" t="str">
        <f>IF(ISERROR(MATCH(B58,I58,0)),"",1)</f>
        <v/>
      </c>
    </row>
    <row r="59" spans="1:10" x14ac:dyDescent="0.25">
      <c r="A59" s="9" t="s">
        <v>116</v>
      </c>
      <c r="B59" s="10" t="str">
        <f>RIGHT(A59, LEN(A59)-2)</f>
        <v>NPBG1</v>
      </c>
      <c r="C59" s="15" t="str">
        <f>"XTCH"&amp;B59</f>
        <v>XTCHNPBG1</v>
      </c>
      <c r="D59" s="7" t="s">
        <v>2</v>
      </c>
      <c r="E59" s="21" t="s">
        <v>186</v>
      </c>
      <c r="F59" s="24" t="s">
        <v>187</v>
      </c>
      <c r="H59" s="18" t="s">
        <v>141</v>
      </c>
      <c r="I59" s="1" t="s">
        <v>389</v>
      </c>
      <c r="J59" t="str">
        <f>IF(ISERROR(MATCH(B59,I59,0)),"",1)</f>
        <v/>
      </c>
    </row>
    <row r="60" spans="1:10" x14ac:dyDescent="0.25">
      <c r="A60" s="9" t="s">
        <v>117</v>
      </c>
      <c r="B60" s="10" t="str">
        <f>RIGHT(A60, LEN(A60)-2)</f>
        <v>NPBN1</v>
      </c>
      <c r="C60" s="15" t="str">
        <f>"XTCH"&amp;B60</f>
        <v>XTCHNPBN1</v>
      </c>
      <c r="D60" s="7" t="s">
        <v>20</v>
      </c>
      <c r="E60" s="21" t="s">
        <v>188</v>
      </c>
      <c r="F60" s="24" t="s">
        <v>189</v>
      </c>
      <c r="H60" s="18" t="s">
        <v>141</v>
      </c>
      <c r="I60" s="1" t="s">
        <v>390</v>
      </c>
      <c r="J60" t="str">
        <f>IF(ISERROR(MATCH(B60,I60,0)),"",1)</f>
        <v/>
      </c>
    </row>
    <row r="61" spans="1:10" x14ac:dyDescent="0.25">
      <c r="A61" s="9" t="s">
        <v>118</v>
      </c>
      <c r="B61" s="10" t="str">
        <f>RIGHT(A61, LEN(A61)-2)</f>
        <v>NPBX1</v>
      </c>
      <c r="C61" s="15" t="str">
        <f>"XTCH"&amp;B61</f>
        <v>XTCHNPBX1</v>
      </c>
      <c r="D61" s="7" t="s">
        <v>19</v>
      </c>
      <c r="E61" s="21" t="s">
        <v>190</v>
      </c>
      <c r="F61" s="24" t="s">
        <v>255</v>
      </c>
      <c r="H61" s="18" t="s">
        <v>141</v>
      </c>
      <c r="I61" s="1" t="s">
        <v>391</v>
      </c>
      <c r="J61" t="str">
        <f>IF(ISERROR(MATCH(B61,I61,0)),"",1)</f>
        <v/>
      </c>
    </row>
    <row r="62" spans="1:10" x14ac:dyDescent="0.25">
      <c r="A62" s="9" t="s">
        <v>119</v>
      </c>
      <c r="B62" s="10" t="str">
        <f>RIGHT(A62, LEN(A62)-2)</f>
        <v>NPF975</v>
      </c>
      <c r="C62" s="15" t="str">
        <f>"XTCH"&amp;B62</f>
        <v>XTCHNPF975</v>
      </c>
      <c r="D62" s="7" t="s">
        <v>0</v>
      </c>
      <c r="E62" s="21" t="s">
        <v>192</v>
      </c>
      <c r="H62" s="18" t="s">
        <v>141</v>
      </c>
      <c r="I62" s="1" t="s">
        <v>392</v>
      </c>
      <c r="J62" t="str">
        <f>IF(ISERROR(MATCH(B62,I62,0)),"",1)</f>
        <v/>
      </c>
    </row>
    <row r="63" spans="1:10" x14ac:dyDescent="0.25">
      <c r="A63" s="9" t="s">
        <v>120</v>
      </c>
      <c r="B63" s="10" t="str">
        <f>RIGHT(A63, LEN(A63)-2)</f>
        <v>NPFH50</v>
      </c>
      <c r="C63" s="15" t="str">
        <f>"XTCH"&amp;B63</f>
        <v>XTCHNPFH50</v>
      </c>
      <c r="D63" s="7" t="s">
        <v>21</v>
      </c>
      <c r="E63" s="21" t="s">
        <v>256</v>
      </c>
      <c r="F63" s="24" t="s">
        <v>257</v>
      </c>
      <c r="H63" s="18" t="s">
        <v>141</v>
      </c>
      <c r="I63" s="1" t="s">
        <v>689</v>
      </c>
      <c r="J63" t="str">
        <f>IF(ISERROR(MATCH(B63,I63,0)),"",1)</f>
        <v/>
      </c>
    </row>
    <row r="64" spans="1:10" x14ac:dyDescent="0.25">
      <c r="A64" s="9" t="s">
        <v>121</v>
      </c>
      <c r="B64" s="10" t="str">
        <f>RIGHT(A64, LEN(A64)-2)</f>
        <v>NPFM500H</v>
      </c>
      <c r="C64" s="15" t="str">
        <f>"XTCH"&amp;B64</f>
        <v>XTCHNPFM500H</v>
      </c>
      <c r="D64" s="7" t="s">
        <v>1</v>
      </c>
      <c r="E64" s="21" t="s">
        <v>194</v>
      </c>
      <c r="F64" s="24" t="s">
        <v>195</v>
      </c>
      <c r="H64" s="18" t="s">
        <v>141</v>
      </c>
      <c r="I64" s="1" t="s">
        <v>690</v>
      </c>
      <c r="J64" t="str">
        <f>IF(ISERROR(MATCH(B64,I64,0)),"",1)</f>
        <v/>
      </c>
    </row>
    <row r="65" spans="1:10" x14ac:dyDescent="0.25">
      <c r="A65" s="9" t="s">
        <v>122</v>
      </c>
      <c r="B65" s="10" t="str">
        <f>RIGHT(A65, LEN(A65)-2)</f>
        <v>NPFV100</v>
      </c>
      <c r="C65" s="15" t="str">
        <f>"XTCH"&amp;B65</f>
        <v>XTCHNPFV100</v>
      </c>
      <c r="D65" s="7" t="s">
        <v>15</v>
      </c>
      <c r="E65" s="21" t="s">
        <v>196</v>
      </c>
      <c r="F65" s="24" t="s">
        <v>197</v>
      </c>
      <c r="H65" s="18" t="s">
        <v>141</v>
      </c>
      <c r="I65" s="1" t="s">
        <v>691</v>
      </c>
      <c r="J65" t="str">
        <f>IF(ISERROR(MATCH(B65,I65,0)),"",1)</f>
        <v/>
      </c>
    </row>
    <row r="66" spans="1:10" x14ac:dyDescent="0.25">
      <c r="A66" s="9" t="s">
        <v>123</v>
      </c>
      <c r="B66" s="10" t="str">
        <f>RIGHT(A66, LEN(A66)-2)</f>
        <v>NPFV50</v>
      </c>
      <c r="C66" s="15" t="str">
        <f>"XTCH"&amp;B66</f>
        <v>XTCHNPFV50</v>
      </c>
      <c r="D66" s="7" t="s">
        <v>3</v>
      </c>
      <c r="E66" s="21" t="s">
        <v>198</v>
      </c>
      <c r="F66" s="24" t="s">
        <v>258</v>
      </c>
      <c r="H66" s="18" t="s">
        <v>141</v>
      </c>
      <c r="I66" s="1" t="s">
        <v>394</v>
      </c>
      <c r="J66" t="str">
        <f>IF(ISERROR(MATCH(B66,I66,0)),"",1)</f>
        <v/>
      </c>
    </row>
    <row r="67" spans="1:10" x14ac:dyDescent="0.25">
      <c r="A67" s="9" t="s">
        <v>124</v>
      </c>
      <c r="B67" s="10" t="str">
        <f>RIGHT(A67, LEN(A67)-2)</f>
        <v>NPFV70</v>
      </c>
      <c r="C67" s="15" t="str">
        <f>"XTCH"&amp;B67</f>
        <v>XTCHNPFV70</v>
      </c>
      <c r="D67" s="7" t="s">
        <v>17</v>
      </c>
      <c r="E67" s="21" t="s">
        <v>196</v>
      </c>
      <c r="F67" s="24" t="s">
        <v>200</v>
      </c>
      <c r="H67" s="18" t="s">
        <v>141</v>
      </c>
      <c r="I67" s="1" t="s">
        <v>692</v>
      </c>
      <c r="J67" t="str">
        <f>IF(ISERROR(MATCH(B67,I67,0)),"",1)</f>
        <v/>
      </c>
    </row>
    <row r="68" spans="1:10" x14ac:dyDescent="0.25">
      <c r="A68" s="9" t="s">
        <v>125</v>
      </c>
      <c r="B68" s="10" t="str">
        <f>RIGHT(A68, LEN(A68)-2)</f>
        <v>NPFW50</v>
      </c>
      <c r="C68" s="15" t="str">
        <f>"XTCH"&amp;B68</f>
        <v>XTCHNPFW50</v>
      </c>
      <c r="D68" s="7" t="s">
        <v>16</v>
      </c>
      <c r="E68" s="21" t="s">
        <v>201</v>
      </c>
      <c r="H68" s="18" t="s">
        <v>141</v>
      </c>
      <c r="I68" s="1" t="s">
        <v>693</v>
      </c>
      <c r="J68" t="str">
        <f>IF(ISERROR(MATCH(B68,I68,0)),"",1)</f>
        <v/>
      </c>
    </row>
    <row r="69" spans="1:10" x14ac:dyDescent="0.25">
      <c r="A69" s="9" t="s">
        <v>126</v>
      </c>
      <c r="B69" s="10" t="str">
        <f>RIGHT(A69, LEN(A69)-2)</f>
        <v>NPW126</v>
      </c>
      <c r="C69" s="15" t="str">
        <f>"XTCH"&amp;B69</f>
        <v>XTCHNPW126</v>
      </c>
      <c r="D69" s="7" t="s">
        <v>14</v>
      </c>
      <c r="E69" s="21" t="s">
        <v>202</v>
      </c>
      <c r="F69" s="24" t="s">
        <v>259</v>
      </c>
      <c r="H69" s="18" t="s">
        <v>141</v>
      </c>
      <c r="I69" s="1" t="s">
        <v>694</v>
      </c>
      <c r="J69" t="str">
        <f>IF(ISERROR(MATCH(B69,I69,0)),"",1)</f>
        <v/>
      </c>
    </row>
    <row r="70" spans="1:10" x14ac:dyDescent="0.25">
      <c r="A70" s="9" t="s">
        <v>127</v>
      </c>
      <c r="B70" s="10" t="str">
        <f>RIGHT(A70, LEN(A70)-2)</f>
        <v>SLB10A</v>
      </c>
      <c r="C70" s="15" t="str">
        <f>"XTCH"&amp;B70</f>
        <v>XTCHSLB10A</v>
      </c>
      <c r="D70" s="7" t="s">
        <v>33</v>
      </c>
      <c r="E70" s="21" t="s">
        <v>204</v>
      </c>
      <c r="F70" s="24" t="s">
        <v>205</v>
      </c>
      <c r="H70" s="18" t="s">
        <v>141</v>
      </c>
      <c r="I70" s="1" t="s">
        <v>695</v>
      </c>
      <c r="J70" t="str">
        <f>IF(ISERROR(MATCH(B70,I70,0)),"",1)</f>
        <v/>
      </c>
    </row>
    <row r="71" spans="1:10" x14ac:dyDescent="0.25">
      <c r="A71" s="9" t="s">
        <v>128</v>
      </c>
      <c r="B71" s="10" t="str">
        <f>RIGHT(A71, LEN(A71)-2)</f>
        <v>VBG260</v>
      </c>
      <c r="C71" s="15" t="str">
        <f>"XTCH"&amp;B71</f>
        <v>XTCHVBG260</v>
      </c>
      <c r="D71" s="7" t="s">
        <v>13</v>
      </c>
      <c r="E71" s="21" t="s">
        <v>204</v>
      </c>
      <c r="F71" s="24" t="s">
        <v>205</v>
      </c>
      <c r="H71" s="18" t="s">
        <v>141</v>
      </c>
      <c r="I71" s="1" t="s">
        <v>696</v>
      </c>
      <c r="J71" t="str">
        <f>IF(ISERROR(MATCH(B71,I71,0)),"",1)</f>
        <v/>
      </c>
    </row>
    <row r="72" spans="1:10" x14ac:dyDescent="0.25">
      <c r="A72" s="9" t="s">
        <v>129</v>
      </c>
      <c r="B72" s="10" t="str">
        <f>RIGHT(A72, LEN(A72)-2)</f>
        <v>VBG6</v>
      </c>
      <c r="C72" s="15" t="str">
        <f>"XTCH"&amp;B72</f>
        <v>XTCHVBG6</v>
      </c>
      <c r="D72" s="7" t="s">
        <v>12</v>
      </c>
      <c r="E72" s="21" t="s">
        <v>208</v>
      </c>
      <c r="F72" s="24" t="s">
        <v>260</v>
      </c>
      <c r="H72" s="18" t="s">
        <v>141</v>
      </c>
      <c r="I72" s="1" t="s">
        <v>398</v>
      </c>
      <c r="J72" t="str">
        <f>IF(ISERROR(MATCH(B72,I72,0)),"",1)</f>
        <v/>
      </c>
    </row>
    <row r="73" spans="1:10" x14ac:dyDescent="0.25">
      <c r="A73" s="9" t="s">
        <v>130</v>
      </c>
      <c r="B73" s="10" t="str">
        <f>RIGHT(A73, LEN(A73)-2)</f>
        <v>VBK180</v>
      </c>
      <c r="C73" s="15" t="str">
        <f>"XTCH"&amp;B73</f>
        <v>XTCHVBK180</v>
      </c>
      <c r="D73" s="7" t="s">
        <v>10</v>
      </c>
      <c r="E73" s="21" t="s">
        <v>210</v>
      </c>
      <c r="F73" s="24" t="s">
        <v>211</v>
      </c>
      <c r="H73" s="18" t="s">
        <v>141</v>
      </c>
      <c r="I73" s="1" t="s">
        <v>399</v>
      </c>
      <c r="J73" t="str">
        <f>IF(ISERROR(MATCH(B73,I73,0)),"",1)</f>
        <v/>
      </c>
    </row>
    <row r="74" spans="1:10" x14ac:dyDescent="0.25">
      <c r="A74" s="9" t="s">
        <v>131</v>
      </c>
      <c r="B74" s="10" t="str">
        <f>RIGHT(A74, LEN(A74)-2)</f>
        <v>VBK360</v>
      </c>
      <c r="C74" s="15" t="str">
        <f>"XTCH"&amp;B74</f>
        <v>XTCHVBK360</v>
      </c>
      <c r="D74" s="7" t="s">
        <v>11</v>
      </c>
      <c r="E74" s="21" t="s">
        <v>210</v>
      </c>
      <c r="F74" s="24" t="s">
        <v>211</v>
      </c>
      <c r="H74" s="18" t="s">
        <v>141</v>
      </c>
      <c r="I74" s="1" t="s">
        <v>400</v>
      </c>
      <c r="J74" t="str">
        <f>IF(ISERROR(MATCH(B74,I74,0)),"",1)</f>
        <v/>
      </c>
    </row>
    <row r="75" spans="1:10" x14ac:dyDescent="0.25">
      <c r="A75" s="9" t="s">
        <v>132</v>
      </c>
      <c r="B75" s="10" t="str">
        <f>RIGHT(A75, LEN(A75)-2)</f>
        <v>VBN130</v>
      </c>
      <c r="C75" s="15" t="str">
        <f>"XTCH"&amp;B75</f>
        <v>XTCHVBN130</v>
      </c>
      <c r="D75" s="7" t="s">
        <v>9</v>
      </c>
      <c r="E75" s="21" t="s">
        <v>212</v>
      </c>
      <c r="F75" s="24" t="s">
        <v>213</v>
      </c>
      <c r="H75" s="18" t="s">
        <v>141</v>
      </c>
      <c r="I75" s="1" t="s">
        <v>401</v>
      </c>
      <c r="J75" t="str">
        <f>IF(ISERROR(MATCH(B75,I75,0)),"",1)</f>
        <v/>
      </c>
    </row>
    <row r="76" spans="1:10" x14ac:dyDescent="0.25">
      <c r="A76" s="9" t="s">
        <v>133</v>
      </c>
      <c r="B76" s="10" t="str">
        <f>RIGHT(A76, LEN(A76)-2)</f>
        <v>VBN260</v>
      </c>
      <c r="C76" s="15" t="str">
        <f>"XTCH"&amp;B76</f>
        <v>XTCHVBN260</v>
      </c>
      <c r="D76" s="7" t="s">
        <v>8</v>
      </c>
      <c r="E76" s="21" t="s">
        <v>212</v>
      </c>
      <c r="H76" s="18" t="s">
        <v>141</v>
      </c>
      <c r="I76" s="1" t="s">
        <v>402</v>
      </c>
      <c r="J76" t="str">
        <f>IF(ISERROR(MATCH(B76,I76,0)),"",1)</f>
        <v/>
      </c>
    </row>
    <row r="77" spans="1:10" x14ac:dyDescent="0.25">
      <c r="A77" s="9" t="s">
        <v>134</v>
      </c>
      <c r="B77" s="10" t="str">
        <f>RIGHT(A77, LEN(A77)-2)</f>
        <v>VF815</v>
      </c>
      <c r="C77" s="15" t="str">
        <f>"XTCH"&amp;B77</f>
        <v>XTCHVF815</v>
      </c>
      <c r="D77" s="7" t="s">
        <v>7</v>
      </c>
      <c r="E77" s="21" t="s">
        <v>261</v>
      </c>
      <c r="F77" s="24" t="s">
        <v>216</v>
      </c>
      <c r="H77" s="18" t="s">
        <v>141</v>
      </c>
      <c r="I77" s="1" t="s">
        <v>403</v>
      </c>
      <c r="J77" t="str">
        <f>IF(ISERROR(MATCH(B77,I77,0)),"",1)</f>
        <v/>
      </c>
    </row>
    <row r="78" spans="1:10" x14ac:dyDescent="0.25">
      <c r="A78" s="9" t="s">
        <v>135</v>
      </c>
      <c r="B78" s="10" t="str">
        <f>RIGHT(A78, LEN(A78)-2)</f>
        <v>VF823</v>
      </c>
      <c r="C78" s="15" t="str">
        <f>"XTCH"&amp;B78</f>
        <v>XTCHVF823</v>
      </c>
      <c r="D78" s="7" t="s">
        <v>6</v>
      </c>
      <c r="E78" s="21" t="s">
        <v>217</v>
      </c>
      <c r="F78" s="24" t="s">
        <v>218</v>
      </c>
      <c r="H78" s="18" t="s">
        <v>141</v>
      </c>
      <c r="I78" s="1" t="s">
        <v>697</v>
      </c>
      <c r="J78" t="str">
        <f>IF(ISERROR(MATCH(B78,I78,0)),"",1)</f>
        <v/>
      </c>
    </row>
    <row r="79" spans="1:10" x14ac:dyDescent="0.25">
      <c r="A79" s="9" t="s">
        <v>136</v>
      </c>
      <c r="B79" s="10" t="str">
        <f>RIGHT(A79, LEN(A79)-2)</f>
        <v>VG121</v>
      </c>
      <c r="C79" s="15" t="str">
        <f>"XTCH"&amp;B79</f>
        <v>XTCHVG121</v>
      </c>
      <c r="D79" s="7" t="s">
        <v>5</v>
      </c>
      <c r="E79" s="21" t="s">
        <v>219</v>
      </c>
      <c r="F79" s="24" t="s">
        <v>262</v>
      </c>
      <c r="H79" s="18" t="s">
        <v>141</v>
      </c>
      <c r="I79" s="4" t="s">
        <v>405</v>
      </c>
      <c r="J79" t="str">
        <f>IF(ISERROR(MATCH(B79,I79,0)),"",1)</f>
        <v/>
      </c>
    </row>
    <row r="80" spans="1:10" x14ac:dyDescent="0.25">
      <c r="A80" s="9" t="s">
        <v>137</v>
      </c>
      <c r="B80" s="10" t="str">
        <f>RIGHT(A80, LEN(A80)-2)</f>
        <v>VG138</v>
      </c>
      <c r="C80" s="15" t="str">
        <f>"XTCH"&amp;B80</f>
        <v>XTCHVG138</v>
      </c>
      <c r="D80" s="7" t="s">
        <v>4</v>
      </c>
      <c r="E80" s="21" t="s">
        <v>221</v>
      </c>
      <c r="F80" s="24" t="s">
        <v>222</v>
      </c>
      <c r="H80" s="18" t="s">
        <v>141</v>
      </c>
      <c r="I80" s="1" t="s">
        <v>406</v>
      </c>
      <c r="J80" t="str">
        <f>IF(ISERROR(MATCH(B80,I80,0)),"",1)</f>
        <v/>
      </c>
    </row>
    <row r="81" spans="1:10" x14ac:dyDescent="0.25">
      <c r="A81" s="9" t="s">
        <v>66</v>
      </c>
      <c r="B81" s="10" t="str">
        <f>RIGHT(A81, LEN(A81)-2)</f>
        <v>ENEL8</v>
      </c>
      <c r="C81" s="15" t="str">
        <f>"XTCH"&amp;B81</f>
        <v>XTCHENEL8</v>
      </c>
      <c r="D81" s="7" t="s">
        <v>143</v>
      </c>
      <c r="E81" s="21" t="s">
        <v>263</v>
      </c>
      <c r="F81" s="24" t="s">
        <v>264</v>
      </c>
      <c r="H81" s="18" t="s">
        <v>141</v>
      </c>
      <c r="I81" s="1" t="s">
        <v>143</v>
      </c>
      <c r="J81">
        <f>IF(ISERROR(MATCH(B81,I81,0)),"",1)</f>
        <v>1</v>
      </c>
    </row>
    <row r="82" spans="1:10" x14ac:dyDescent="0.25">
      <c r="A82" s="9" t="s">
        <v>96</v>
      </c>
      <c r="B82" s="10" t="str">
        <f>RIGHT(A82, LEN(A82)-2)</f>
        <v>ENEL9</v>
      </c>
      <c r="C82" s="15" t="str">
        <f>"XTCH"&amp;B82</f>
        <v>XTCHENEL9</v>
      </c>
      <c r="D82" s="7" t="s">
        <v>144</v>
      </c>
      <c r="E82" s="21" t="s">
        <v>265</v>
      </c>
      <c r="F82" s="24" t="s">
        <v>266</v>
      </c>
      <c r="H82" s="18" t="s">
        <v>141</v>
      </c>
      <c r="I82" s="1" t="s">
        <v>144</v>
      </c>
      <c r="J82">
        <f>IF(ISERROR(MATCH(B82,I82,0)),"",1)</f>
        <v>1</v>
      </c>
    </row>
    <row r="83" spans="1:10" x14ac:dyDescent="0.25">
      <c r="A83" s="9" t="s">
        <v>73</v>
      </c>
      <c r="B83" s="10" t="str">
        <f>RIGHT(A83, LEN(A83)-2)</f>
        <v>GPH3</v>
      </c>
      <c r="C83" s="15" t="str">
        <f>"XTCH"&amp;B83</f>
        <v>XTCHGPH3</v>
      </c>
      <c r="D83" s="7" t="s">
        <v>145</v>
      </c>
      <c r="E83" s="21" t="s">
        <v>292</v>
      </c>
      <c r="F83" s="24" t="s">
        <v>293</v>
      </c>
      <c r="H83" s="18" t="s">
        <v>141</v>
      </c>
      <c r="I83" s="3" t="s">
        <v>145</v>
      </c>
      <c r="J83">
        <f>IF(ISERROR(MATCH(B83,I83,0)),"",1)</f>
        <v>1</v>
      </c>
    </row>
    <row r="84" spans="1:10" x14ac:dyDescent="0.25">
      <c r="A84" s="9" t="s">
        <v>79</v>
      </c>
      <c r="B84" s="10" t="str">
        <f>RIGHT(A84, LEN(A84)-2)</f>
        <v>LI109</v>
      </c>
      <c r="C84" s="15" t="str">
        <f>"XTCH"&amp;B84</f>
        <v>XTCHLI109</v>
      </c>
      <c r="D84" s="7" t="s">
        <v>146</v>
      </c>
      <c r="E84" s="21" t="s">
        <v>267</v>
      </c>
      <c r="F84" s="24" t="s">
        <v>268</v>
      </c>
      <c r="H84" s="18" t="s">
        <v>141</v>
      </c>
      <c r="I84" s="1" t="s">
        <v>146</v>
      </c>
      <c r="J84">
        <f>IF(ISERROR(MATCH(B84,I84,0)),"",1)</f>
        <v>1</v>
      </c>
    </row>
    <row r="85" spans="1:10" x14ac:dyDescent="0.25">
      <c r="A85" s="9" t="s">
        <v>74</v>
      </c>
      <c r="B85" s="10" t="str">
        <f>RIGHT(A85, LEN(A85)-2)</f>
        <v>LI42B</v>
      </c>
      <c r="C85" s="15" t="str">
        <f>"XTCH"&amp;B85</f>
        <v>XTCHLI42B</v>
      </c>
      <c r="D85" s="7" t="s">
        <v>147</v>
      </c>
      <c r="E85" s="21" t="s">
        <v>269</v>
      </c>
      <c r="F85" s="24" t="s">
        <v>270</v>
      </c>
      <c r="H85" s="18" t="s">
        <v>141</v>
      </c>
      <c r="I85" s="1" t="s">
        <v>147</v>
      </c>
      <c r="J85">
        <f>IF(ISERROR(MATCH(B85,I85,0)),"",1)</f>
        <v>1</v>
      </c>
    </row>
    <row r="86" spans="1:10" x14ac:dyDescent="0.25">
      <c r="A86" s="9" t="s">
        <v>75</v>
      </c>
      <c r="B86" s="10" t="str">
        <f>RIGHT(A86, LEN(A86)-2)</f>
        <v>LI50B</v>
      </c>
      <c r="C86" s="15" t="str">
        <f>"XTCH"&amp;B86</f>
        <v>XTCHLI50B</v>
      </c>
      <c r="D86" s="7" t="s">
        <v>148</v>
      </c>
      <c r="E86" s="21" t="s">
        <v>271</v>
      </c>
      <c r="F86" s="24" t="s">
        <v>272</v>
      </c>
      <c r="H86" s="18" t="s">
        <v>141</v>
      </c>
      <c r="I86" s="1" t="s">
        <v>148</v>
      </c>
      <c r="J86">
        <f>IF(ISERROR(MATCH(B86,I86,0)),"",1)</f>
        <v>1</v>
      </c>
    </row>
    <row r="87" spans="1:10" x14ac:dyDescent="0.25">
      <c r="A87" s="9" t="s">
        <v>76</v>
      </c>
      <c r="B87" s="10" t="str">
        <f>RIGHT(A87, LEN(A87)-2)</f>
        <v>LI70B</v>
      </c>
      <c r="C87" s="15" t="str">
        <f>"XTCH"&amp;B87</f>
        <v>XTCHLI70B</v>
      </c>
      <c r="D87" s="7" t="s">
        <v>149</v>
      </c>
      <c r="E87" s="21" t="s">
        <v>273</v>
      </c>
      <c r="F87" s="24" t="s">
        <v>274</v>
      </c>
      <c r="H87" s="18" t="s">
        <v>141</v>
      </c>
      <c r="I87" s="1" t="s">
        <v>149</v>
      </c>
      <c r="J87">
        <f>IF(ISERROR(MATCH(B87,I87,0)),"",1)</f>
        <v>1</v>
      </c>
    </row>
    <row r="88" spans="1:10" x14ac:dyDescent="0.25">
      <c r="A88" s="9" t="s">
        <v>77</v>
      </c>
      <c r="B88" s="10" t="str">
        <f>RIGHT(A88, LEN(A88)-2)</f>
        <v>LI90</v>
      </c>
      <c r="C88" s="15" t="str">
        <f>"XTCH"&amp;B88</f>
        <v>XTCHLI90</v>
      </c>
      <c r="D88" s="7" t="s">
        <v>150</v>
      </c>
      <c r="E88" s="21" t="s">
        <v>275</v>
      </c>
      <c r="F88" s="24" t="s">
        <v>276</v>
      </c>
      <c r="H88" s="18" t="s">
        <v>141</v>
      </c>
      <c r="I88" s="1" t="s">
        <v>150</v>
      </c>
      <c r="J88">
        <f>IF(ISERROR(MATCH(B88,I88,0)),"",1)</f>
        <v>1</v>
      </c>
    </row>
    <row r="89" spans="1:10" x14ac:dyDescent="0.25">
      <c r="A89" s="9" t="s">
        <v>78</v>
      </c>
      <c r="B89" s="10" t="str">
        <f>RIGHT(A89, LEN(A89)-2)</f>
        <v>LI90B</v>
      </c>
      <c r="C89" s="15" t="str">
        <f>"XTCH"&amp;B89</f>
        <v>XTCHLI90B</v>
      </c>
      <c r="D89" s="7" t="s">
        <v>151</v>
      </c>
      <c r="E89" s="21" t="s">
        <v>277</v>
      </c>
      <c r="F89" s="24" t="s">
        <v>278</v>
      </c>
      <c r="H89" s="18" t="s">
        <v>141</v>
      </c>
      <c r="I89" s="1" t="s">
        <v>151</v>
      </c>
      <c r="J89">
        <f>IF(ISERROR(MATCH(B89,I89,0)),"",1)</f>
        <v>1</v>
      </c>
    </row>
    <row r="90" spans="1:10" x14ac:dyDescent="0.25">
      <c r="A90" s="9" t="s">
        <v>82</v>
      </c>
      <c r="B90" s="10" t="str">
        <f>RIGHT(A90, LEN(A90)-2)</f>
        <v>LPE10</v>
      </c>
      <c r="C90" s="15" t="str">
        <f>"XTCH"&amp;B90</f>
        <v>XTCHLPE10</v>
      </c>
      <c r="D90" s="7" t="s">
        <v>152</v>
      </c>
      <c r="E90" s="21" t="s">
        <v>279</v>
      </c>
      <c r="F90" s="24" t="s">
        <v>280</v>
      </c>
      <c r="H90" s="18" t="s">
        <v>141</v>
      </c>
      <c r="I90" s="1" t="s">
        <v>152</v>
      </c>
      <c r="J90">
        <f>IF(ISERROR(MATCH(B90,I90,0)),"",1)</f>
        <v>1</v>
      </c>
    </row>
    <row r="91" spans="1:10" x14ac:dyDescent="0.25">
      <c r="A91" s="9" t="s">
        <v>83</v>
      </c>
      <c r="B91" s="10" t="str">
        <f>RIGHT(A91, LEN(A91)-2)</f>
        <v>LPE12</v>
      </c>
      <c r="C91" s="15" t="str">
        <f>"XTCH"&amp;B91</f>
        <v>XTCHLPE12</v>
      </c>
      <c r="D91" s="7" t="s">
        <v>153</v>
      </c>
      <c r="E91" s="21" t="s">
        <v>281</v>
      </c>
      <c r="F91" s="24" t="s">
        <v>282</v>
      </c>
      <c r="H91" s="18" t="s">
        <v>141</v>
      </c>
      <c r="I91" s="1" t="s">
        <v>153</v>
      </c>
      <c r="J91">
        <f>IF(ISERROR(MATCH(B91,I91,0)),"",1)</f>
        <v>1</v>
      </c>
    </row>
    <row r="92" spans="1:10" x14ac:dyDescent="0.25">
      <c r="A92" s="9" t="s">
        <v>93</v>
      </c>
      <c r="B92" s="10" t="str">
        <f>RIGHT(A92, LEN(A92)-2)</f>
        <v>LPE5</v>
      </c>
      <c r="C92" s="15" t="str">
        <f>"XTCH"&amp;B92</f>
        <v>XTCHLPE5</v>
      </c>
      <c r="D92" s="7" t="s">
        <v>154</v>
      </c>
      <c r="E92" s="21" t="s">
        <v>283</v>
      </c>
      <c r="F92" s="24" t="s">
        <v>284</v>
      </c>
      <c r="H92" s="18" t="s">
        <v>141</v>
      </c>
      <c r="I92" s="4" t="s">
        <v>154</v>
      </c>
      <c r="J92">
        <f>IF(ISERROR(MATCH(B92,I92,0)),"",1)</f>
        <v>1</v>
      </c>
    </row>
    <row r="93" spans="1:10" x14ac:dyDescent="0.25">
      <c r="A93" s="9" t="s">
        <v>80</v>
      </c>
      <c r="B93" s="10" t="str">
        <f>RIGHT(A93, LEN(A93)-2)</f>
        <v>LPE6</v>
      </c>
      <c r="C93" s="15" t="str">
        <f>"XTCH"&amp;B93</f>
        <v>XTCHLPE6</v>
      </c>
      <c r="D93" s="7" t="s">
        <v>155</v>
      </c>
      <c r="E93" s="21" t="s">
        <v>285</v>
      </c>
      <c r="F93" s="24" t="s">
        <v>286</v>
      </c>
      <c r="H93" s="18" t="s">
        <v>141</v>
      </c>
      <c r="I93" s="1" t="s">
        <v>155</v>
      </c>
      <c r="J93">
        <f>IF(ISERROR(MATCH(B93,I93,0)),"",1)</f>
        <v>1</v>
      </c>
    </row>
    <row r="94" spans="1:10" x14ac:dyDescent="0.25">
      <c r="A94" s="9" t="s">
        <v>81</v>
      </c>
      <c r="B94" s="10" t="str">
        <f>RIGHT(A94, LEN(A94)-2)</f>
        <v>LPE8</v>
      </c>
      <c r="C94" s="15" t="str">
        <f>"XTCH"&amp;B94</f>
        <v>XTCHLPE8</v>
      </c>
      <c r="D94" s="7" t="s">
        <v>156</v>
      </c>
      <c r="E94" s="21" t="s">
        <v>287</v>
      </c>
      <c r="F94" s="24" t="s">
        <v>288</v>
      </c>
      <c r="H94" s="18" t="s">
        <v>141</v>
      </c>
      <c r="I94" s="1" t="s">
        <v>156</v>
      </c>
      <c r="J94">
        <f>IF(ISERROR(MATCH(B94,I94,0)),"",1)</f>
        <v>1</v>
      </c>
    </row>
    <row r="95" spans="1:10" s="26" customFormat="1" x14ac:dyDescent="0.25">
      <c r="H95" s="28"/>
    </row>
    <row r="96" spans="1:10" s="26" customFormat="1" x14ac:dyDescent="0.25">
      <c r="H96" s="27"/>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9"/>
  <sheetViews>
    <sheetView workbookViewId="0">
      <pane ySplit="1" topLeftCell="A2" activePane="bottomLeft" state="frozen"/>
      <selection pane="bottomLeft" activeCell="B34" sqref="B34"/>
    </sheetView>
  </sheetViews>
  <sheetFormatPr defaultRowHeight="16.5" thickTop="1" thickBottom="1" x14ac:dyDescent="0.3"/>
  <cols>
    <col min="1" max="1" width="13.140625" style="33" bestFit="1" customWidth="1"/>
    <col min="2" max="2" width="17.85546875" style="36" bestFit="1" customWidth="1"/>
    <col min="3" max="3" width="13" style="15" bestFit="1" customWidth="1"/>
    <col min="4" max="4" width="16.140625" style="7" customWidth="1"/>
    <col min="5" max="5" width="13.85546875" customWidth="1"/>
    <col min="6" max="6" width="28.42578125" style="25" bestFit="1" customWidth="1"/>
    <col min="7" max="7" width="21.85546875" style="43" customWidth="1"/>
    <col min="8" max="8" width="15.85546875" style="43" customWidth="1"/>
    <col min="10" max="10" width="8.42578125" bestFit="1" customWidth="1"/>
  </cols>
  <sheetData>
    <row r="1" spans="1:9" s="29" customFormat="1" ht="17.25" thickTop="1" thickBot="1" x14ac:dyDescent="0.3">
      <c r="A1" s="30" t="s">
        <v>605</v>
      </c>
      <c r="B1" s="34" t="s">
        <v>660</v>
      </c>
      <c r="C1" s="37" t="s">
        <v>606</v>
      </c>
      <c r="D1" s="44" t="s">
        <v>157</v>
      </c>
      <c r="E1" s="25" t="s">
        <v>607</v>
      </c>
      <c r="F1" s="40" t="s">
        <v>657</v>
      </c>
      <c r="G1" s="40" t="s">
        <v>658</v>
      </c>
      <c r="I1" s="29" t="s">
        <v>659</v>
      </c>
    </row>
    <row r="2" spans="1:9" thickTop="1" thickBot="1" x14ac:dyDescent="0.3">
      <c r="A2" s="45" t="s">
        <v>294</v>
      </c>
      <c r="B2" s="35" t="s">
        <v>372</v>
      </c>
      <c r="C2" s="38" t="s">
        <v>35</v>
      </c>
      <c r="D2" s="7" t="s">
        <v>677</v>
      </c>
      <c r="E2" s="25" t="s">
        <v>608</v>
      </c>
      <c r="F2" s="41" t="s">
        <v>430</v>
      </c>
      <c r="G2" s="41" t="s">
        <v>501</v>
      </c>
      <c r="H2"/>
      <c r="I2" t="str">
        <f>CONCATENATE(G2," ",F2)</f>
        <v xml:space="preserve"> DE-A65 DE-A66 DEA65 DEA66</v>
      </c>
    </row>
    <row r="3" spans="1:9" thickTop="1" thickBot="1" x14ac:dyDescent="0.3">
      <c r="A3" s="45" t="s">
        <v>295</v>
      </c>
      <c r="B3" s="35" t="s">
        <v>373</v>
      </c>
      <c r="C3" s="38" t="s">
        <v>413</v>
      </c>
      <c r="D3" s="7" t="s">
        <v>676</v>
      </c>
      <c r="E3" s="25" t="s">
        <v>608</v>
      </c>
      <c r="F3" s="41" t="s">
        <v>431</v>
      </c>
      <c r="G3" s="41" t="s">
        <v>502</v>
      </c>
      <c r="H3"/>
      <c r="I3" t="str">
        <f t="shared" ref="I3:I66" si="0">CONCATENATE(G3," ",F3)</f>
        <v xml:space="preserve"> DE-A75B DEA75B</v>
      </c>
    </row>
    <row r="4" spans="1:9" thickTop="1" thickBot="1" x14ac:dyDescent="0.3">
      <c r="A4" s="45" t="s">
        <v>296</v>
      </c>
      <c r="B4" s="35" t="s">
        <v>374</v>
      </c>
      <c r="C4" s="38" t="s">
        <v>37</v>
      </c>
      <c r="D4" s="7" t="s">
        <v>674</v>
      </c>
      <c r="E4" s="25" t="s">
        <v>608</v>
      </c>
      <c r="F4" s="41" t="s">
        <v>432</v>
      </c>
      <c r="G4" s="41" t="s">
        <v>503</v>
      </c>
      <c r="H4"/>
      <c r="I4" t="str">
        <f t="shared" si="0"/>
        <v xml:space="preserve"> DE-A81 DMW-BTC5 DEA81 DMWBTC5</v>
      </c>
    </row>
    <row r="5" spans="1:9" thickTop="1" thickBot="1" x14ac:dyDescent="0.3">
      <c r="A5" s="45" t="s">
        <v>297</v>
      </c>
      <c r="B5" s="35" t="s">
        <v>375</v>
      </c>
      <c r="C5" s="38" t="s">
        <v>38</v>
      </c>
      <c r="D5" s="7" t="s">
        <v>673</v>
      </c>
      <c r="E5" s="25" t="s">
        <v>608</v>
      </c>
      <c r="F5" s="41" t="s">
        <v>433</v>
      </c>
      <c r="G5" s="41" t="s">
        <v>504</v>
      </c>
      <c r="H5"/>
      <c r="I5" t="str">
        <f t="shared" si="0"/>
        <v xml:space="preserve"> DE-A91A DE-A91B NCA-YN101G DMW-BTC8 DEA91A DEA91B NCAYN101G DMWBTC8</v>
      </c>
    </row>
    <row r="6" spans="1:9" thickTop="1" thickBot="1" x14ac:dyDescent="0.3">
      <c r="A6" s="45" t="s">
        <v>298</v>
      </c>
      <c r="B6" s="35" t="s">
        <v>376</v>
      </c>
      <c r="C6" s="38" t="s">
        <v>39</v>
      </c>
      <c r="D6" s="7" t="s">
        <v>675</v>
      </c>
      <c r="E6" s="25" t="s">
        <v>608</v>
      </c>
      <c r="F6" s="41" t="s">
        <v>434</v>
      </c>
      <c r="G6" s="41" t="s">
        <v>505</v>
      </c>
      <c r="H6"/>
      <c r="I6" t="str">
        <f t="shared" si="0"/>
        <v xml:space="preserve"> DE-A91A DE-A91B DMW-BTC8 NCA-YN101G  DEA91A DEA91B DMWBTC8 NCAYN101G </v>
      </c>
    </row>
    <row r="7" spans="1:9" thickTop="1" thickBot="1" x14ac:dyDescent="0.3">
      <c r="A7" s="45" t="s">
        <v>299</v>
      </c>
      <c r="B7" s="35" t="s">
        <v>377</v>
      </c>
      <c r="C7" s="38" t="s">
        <v>40</v>
      </c>
      <c r="D7" s="7" t="s">
        <v>672</v>
      </c>
      <c r="E7" s="25" t="s">
        <v>608</v>
      </c>
      <c r="F7" s="41" t="s">
        <v>435</v>
      </c>
      <c r="G7" s="41" t="s">
        <v>506</v>
      </c>
      <c r="H7"/>
      <c r="I7" t="str">
        <f t="shared" si="0"/>
        <v xml:space="preserve"> VSK0800  VSK0800 </v>
      </c>
    </row>
    <row r="8" spans="1:9" thickTop="1" thickBot="1" x14ac:dyDescent="0.3">
      <c r="A8" s="45" t="s">
        <v>300</v>
      </c>
      <c r="B8" s="35" t="s">
        <v>378</v>
      </c>
      <c r="C8" s="38" t="s">
        <v>94</v>
      </c>
      <c r="D8" s="7" t="s">
        <v>671</v>
      </c>
      <c r="E8" s="25" t="s">
        <v>608</v>
      </c>
      <c r="F8" s="41" t="s">
        <v>436</v>
      </c>
      <c r="G8" s="41" t="s">
        <v>507</v>
      </c>
      <c r="H8"/>
      <c r="I8" t="str">
        <f t="shared" si="0"/>
        <v xml:space="preserve"> DMC-LF1 DMCLF1</v>
      </c>
    </row>
    <row r="9" spans="1:9" thickTop="1" thickBot="1" x14ac:dyDescent="0.3">
      <c r="A9" s="45" t="s">
        <v>301</v>
      </c>
      <c r="B9" s="35" t="s">
        <v>379</v>
      </c>
      <c r="C9" s="38" t="s">
        <v>41</v>
      </c>
      <c r="D9" s="7" t="s">
        <v>670</v>
      </c>
      <c r="E9" s="25" t="s">
        <v>608</v>
      </c>
      <c r="F9" s="41" t="s">
        <v>437</v>
      </c>
      <c r="G9" s="41" t="s">
        <v>508</v>
      </c>
      <c r="H9"/>
      <c r="I9" t="str">
        <f t="shared" si="0"/>
        <v> DE-A79B  DEA79B</v>
      </c>
    </row>
    <row r="10" spans="1:9" thickTop="1" thickBot="1" x14ac:dyDescent="0.3">
      <c r="A10" s="45" t="s">
        <v>302</v>
      </c>
      <c r="B10" s="35" t="s">
        <v>380</v>
      </c>
      <c r="C10" s="38" t="s">
        <v>42</v>
      </c>
      <c r="D10" s="7" t="s">
        <v>669</v>
      </c>
      <c r="E10" s="25" t="s">
        <v>608</v>
      </c>
      <c r="F10" s="41" t="s">
        <v>438</v>
      </c>
      <c r="G10" s="41" t="s">
        <v>509</v>
      </c>
      <c r="H10"/>
      <c r="I10" t="str">
        <f t="shared" si="0"/>
        <v xml:space="preserve"> DE-A93A DE-A93B DMW-BTC7 DEA93A DEA93B DMWBTC7</v>
      </c>
    </row>
    <row r="11" spans="1:9" thickTop="1" thickBot="1" x14ac:dyDescent="0.3">
      <c r="A11" s="45" t="s">
        <v>303</v>
      </c>
      <c r="B11" s="35" t="s">
        <v>381</v>
      </c>
      <c r="C11" s="38" t="s">
        <v>43</v>
      </c>
      <c r="D11" s="7" t="s">
        <v>668</v>
      </c>
      <c r="E11" s="25" t="s">
        <v>608</v>
      </c>
      <c r="F11" s="41" t="s">
        <v>439</v>
      </c>
      <c r="G11" s="41" t="s">
        <v>510</v>
      </c>
      <c r="H11"/>
      <c r="I11" t="str">
        <f t="shared" si="0"/>
        <v xml:space="preserve"> DE-A99A DE-A99B DMW-BTC9 DEA99A DEA99B DMWBTC9</v>
      </c>
    </row>
    <row r="12" spans="1:9" thickTop="1" thickBot="1" x14ac:dyDescent="0.3">
      <c r="A12" s="45" t="s">
        <v>304</v>
      </c>
      <c r="B12" s="35" t="s">
        <v>382</v>
      </c>
      <c r="C12" s="38" t="s">
        <v>44</v>
      </c>
      <c r="D12" s="7" t="s">
        <v>667</v>
      </c>
      <c r="E12" s="25" t="s">
        <v>608</v>
      </c>
      <c r="F12" s="41" t="s">
        <v>440</v>
      </c>
      <c r="G12" s="41" t="s">
        <v>511</v>
      </c>
      <c r="H12"/>
      <c r="I12" t="str">
        <f t="shared" si="0"/>
        <v xml:space="preserve"> DMW-BTC10 DMWBTC10</v>
      </c>
    </row>
    <row r="13" spans="1:9" thickTop="1" thickBot="1" x14ac:dyDescent="0.3">
      <c r="A13" s="45" t="s">
        <v>305</v>
      </c>
      <c r="B13" s="35" t="s">
        <v>383</v>
      </c>
      <c r="C13" s="38" t="s">
        <v>45</v>
      </c>
      <c r="D13" s="7" t="s">
        <v>666</v>
      </c>
      <c r="E13" s="25" t="s">
        <v>608</v>
      </c>
      <c r="F13" s="41" t="s">
        <v>441</v>
      </c>
      <c r="G13" s="41" t="s">
        <v>512</v>
      </c>
      <c r="H13"/>
      <c r="I13" t="str">
        <f t="shared" si="0"/>
        <v xml:space="preserve"> DMW-BLG10 DMWBLG10</v>
      </c>
    </row>
    <row r="14" spans="1:9" thickTop="1" thickBot="1" x14ac:dyDescent="0.3">
      <c r="A14" s="45" t="s">
        <v>306</v>
      </c>
      <c r="B14" s="35" t="s">
        <v>384</v>
      </c>
      <c r="C14" s="38" t="s">
        <v>47</v>
      </c>
      <c r="D14" s="7" t="s">
        <v>665</v>
      </c>
      <c r="E14" s="25" t="s">
        <v>608</v>
      </c>
      <c r="F14" s="41" t="s">
        <v>442</v>
      </c>
      <c r="G14" s="41" t="s">
        <v>513</v>
      </c>
      <c r="H14"/>
      <c r="I14" t="str">
        <f t="shared" si="0"/>
        <v xml:space="preserve"> PS-BCS1 BCS1 PSBCS1 BCS1</v>
      </c>
    </row>
    <row r="15" spans="1:9" thickTop="1" thickBot="1" x14ac:dyDescent="0.3">
      <c r="A15" s="45" t="s">
        <v>307</v>
      </c>
      <c r="B15" s="35" t="s">
        <v>385</v>
      </c>
      <c r="C15" s="38" t="s">
        <v>49</v>
      </c>
      <c r="D15" s="7" t="s">
        <v>664</v>
      </c>
      <c r="E15" s="25" t="s">
        <v>608</v>
      </c>
      <c r="F15" s="41" t="s">
        <v>443</v>
      </c>
      <c r="G15" s="41" t="s">
        <v>514</v>
      </c>
      <c r="H15"/>
      <c r="I15" t="str">
        <f t="shared" si="0"/>
        <v xml:space="preserve"> DE-A83 DMW-BTC4 DEA83 DMWBTC4</v>
      </c>
    </row>
    <row r="16" spans="1:9" thickTop="1" thickBot="1" x14ac:dyDescent="0.3">
      <c r="A16" s="45" t="s">
        <v>308</v>
      </c>
      <c r="B16" s="35" t="s">
        <v>386</v>
      </c>
      <c r="C16" s="38" t="s">
        <v>414</v>
      </c>
      <c r="D16" s="7" t="s">
        <v>663</v>
      </c>
      <c r="E16" s="25" t="s">
        <v>608</v>
      </c>
      <c r="F16" s="41" t="s">
        <v>444</v>
      </c>
      <c r="G16" s="41" t="s">
        <v>515</v>
      </c>
      <c r="H16"/>
      <c r="I16" t="str">
        <f t="shared" si="0"/>
        <v xml:space="preserve"> BC-CSN BCCSN BCCSN BCCSN</v>
      </c>
    </row>
    <row r="17" spans="1:9" thickTop="1" thickBot="1" x14ac:dyDescent="0.3">
      <c r="A17" s="45" t="s">
        <v>309</v>
      </c>
      <c r="B17" s="35" t="s">
        <v>387</v>
      </c>
      <c r="C17" s="38" t="s">
        <v>415</v>
      </c>
      <c r="D17" s="7" t="s">
        <v>662</v>
      </c>
      <c r="E17" s="25" t="s">
        <v>608</v>
      </c>
      <c r="F17" s="41" t="s">
        <v>445</v>
      </c>
      <c r="G17" s="41" t="s">
        <v>516</v>
      </c>
      <c r="H17"/>
      <c r="I17" t="str">
        <f t="shared" si="0"/>
        <v xml:space="preserve"> AA-VG1 AA-VG1U AAVG1 AAVG1U</v>
      </c>
    </row>
    <row r="18" spans="1:9" thickTop="1" thickBot="1" x14ac:dyDescent="0.3">
      <c r="A18" s="45" t="s">
        <v>310</v>
      </c>
      <c r="B18" s="35" t="s">
        <v>388</v>
      </c>
      <c r="C18" s="38" t="s">
        <v>61</v>
      </c>
      <c r="D18" s="7" t="s">
        <v>609</v>
      </c>
      <c r="E18" s="25" t="s">
        <v>608</v>
      </c>
      <c r="F18" s="41" t="s">
        <v>446</v>
      </c>
      <c r="G18" s="41" t="s">
        <v>517</v>
      </c>
      <c r="H18"/>
      <c r="I18" t="str">
        <f t="shared" si="0"/>
        <v xml:space="preserve">ED-BP1030 ED-BP1130  EDBP1030 EDBP1130 </v>
      </c>
    </row>
    <row r="19" spans="1:9" thickTop="1" thickBot="1" x14ac:dyDescent="0.3">
      <c r="A19" s="45" t="s">
        <v>311</v>
      </c>
      <c r="B19" s="35" t="s">
        <v>389</v>
      </c>
      <c r="C19" s="38" t="s">
        <v>51</v>
      </c>
      <c r="D19" s="7" t="s">
        <v>661</v>
      </c>
      <c r="E19" s="25" t="s">
        <v>608</v>
      </c>
      <c r="F19" s="41" t="s">
        <v>447</v>
      </c>
      <c r="G19" s="41" t="s">
        <v>518</v>
      </c>
      <c r="H19"/>
      <c r="I19" t="str">
        <f t="shared" si="0"/>
        <v xml:space="preserve"> CG-110 CG110</v>
      </c>
    </row>
    <row r="20" spans="1:9" thickTop="1" thickBot="1" x14ac:dyDescent="0.3">
      <c r="A20" s="45" t="s">
        <v>312</v>
      </c>
      <c r="B20" s="35" t="s">
        <v>390</v>
      </c>
      <c r="C20" s="38" t="s">
        <v>62</v>
      </c>
      <c r="D20" s="7" t="s">
        <v>678</v>
      </c>
      <c r="E20" s="25" t="s">
        <v>608</v>
      </c>
      <c r="F20" s="41" t="s">
        <v>448</v>
      </c>
      <c r="G20" s="41" t="s">
        <v>519</v>
      </c>
      <c r="H20"/>
      <c r="I20" t="str">
        <f t="shared" si="0"/>
        <v xml:space="preserve"> ED-BP1310 BP1310 EDBP1310 BP1310</v>
      </c>
    </row>
    <row r="21" spans="1:9" thickTop="1" thickBot="1" x14ac:dyDescent="0.3">
      <c r="A21" s="45" t="s">
        <v>313</v>
      </c>
      <c r="B21" s="35" t="s">
        <v>391</v>
      </c>
      <c r="C21" s="38" t="s">
        <v>52</v>
      </c>
      <c r="D21" s="7" t="s">
        <v>679</v>
      </c>
      <c r="E21" s="25" t="s">
        <v>608</v>
      </c>
      <c r="F21" s="41" t="s">
        <v>449</v>
      </c>
      <c r="G21" s="41" t="s">
        <v>520</v>
      </c>
      <c r="H21"/>
      <c r="I21" t="str">
        <f t="shared" si="0"/>
        <v xml:space="preserve"> CB-5L CG-560 CG-570 CG-580 CB5L CG560 CG570 CG580</v>
      </c>
    </row>
    <row r="22" spans="1:9" thickTop="1" thickBot="1" x14ac:dyDescent="0.3">
      <c r="A22" s="31" t="s">
        <v>314</v>
      </c>
      <c r="B22" s="35" t="s">
        <v>392</v>
      </c>
      <c r="C22" s="38" t="s">
        <v>50</v>
      </c>
      <c r="D22" s="7" t="s">
        <v>680</v>
      </c>
      <c r="E22" s="25" t="s">
        <v>608</v>
      </c>
      <c r="F22" s="41" t="s">
        <v>450</v>
      </c>
      <c r="G22" s="41" t="s">
        <v>521</v>
      </c>
      <c r="H22"/>
      <c r="I22" t="str">
        <f t="shared" si="0"/>
        <v xml:space="preserve"> EA-BP70A BP70A IA-BP70A EABP70A BP70A IABP70A</v>
      </c>
    </row>
    <row r="23" spans="1:9" thickTop="1" thickBot="1" x14ac:dyDescent="0.3">
      <c r="A23" s="31" t="s">
        <v>315</v>
      </c>
      <c r="B23" s="35" t="s">
        <v>393</v>
      </c>
      <c r="C23" s="38" t="s">
        <v>416</v>
      </c>
      <c r="D23" s="7" t="s">
        <v>681</v>
      </c>
      <c r="E23" s="25" t="s">
        <v>608</v>
      </c>
      <c r="F23" s="41" t="s">
        <v>451</v>
      </c>
      <c r="G23" s="41" t="s">
        <v>522</v>
      </c>
      <c r="H23"/>
      <c r="I23" t="str">
        <f t="shared" si="0"/>
        <v xml:space="preserve"> CG-700 BP-709 BP-718 BP-745 CG700 BP709 BP718 BP745</v>
      </c>
    </row>
    <row r="24" spans="1:9" thickTop="1" thickBot="1" x14ac:dyDescent="0.3">
      <c r="A24" s="31" t="s">
        <v>316</v>
      </c>
      <c r="B24" s="35" t="s">
        <v>394</v>
      </c>
      <c r="C24" s="38" t="s">
        <v>56</v>
      </c>
      <c r="D24" s="7" t="s">
        <v>682</v>
      </c>
      <c r="E24" s="25" t="s">
        <v>608</v>
      </c>
      <c r="F24" s="41" t="s">
        <v>452</v>
      </c>
      <c r="G24" s="41" t="s">
        <v>523</v>
      </c>
      <c r="H24"/>
      <c r="I24" t="str">
        <f t="shared" si="0"/>
        <v xml:space="preserve"> CG-800 BP-807 BP-808 BP-809 BP-819 BP-820 BP-827 BP-828 CG800 BP807 BP808 BP809 BP819 BP820 BP827 BP828</v>
      </c>
    </row>
    <row r="25" spans="1:9" thickTop="1" thickBot="1" x14ac:dyDescent="0.3">
      <c r="A25" s="31" t="s">
        <v>317</v>
      </c>
      <c r="B25" s="35" t="s">
        <v>395</v>
      </c>
      <c r="C25" s="38" t="s">
        <v>417</v>
      </c>
      <c r="D25" s="7" t="s">
        <v>683</v>
      </c>
      <c r="E25" s="25" t="s">
        <v>608</v>
      </c>
      <c r="F25" s="41" t="s">
        <v>453</v>
      </c>
      <c r="G25" s="41" t="s">
        <v>524</v>
      </c>
      <c r="H25"/>
      <c r="I25" t="str">
        <f t="shared" si="0"/>
        <v xml:space="preserve"> CG-900 BP-950G, BP-955, BP-970G, BP-975 BP-925 CG900 BP950G, BP955, BP970G, BP975 BP925</v>
      </c>
    </row>
    <row r="26" spans="1:9" thickTop="1" thickBot="1" x14ac:dyDescent="0.3">
      <c r="A26" s="31" t="s">
        <v>318</v>
      </c>
      <c r="B26" s="35" t="s">
        <v>396</v>
      </c>
      <c r="C26" s="38" t="s">
        <v>418</v>
      </c>
      <c r="D26" s="7" t="s">
        <v>684</v>
      </c>
      <c r="E26" s="25" t="s">
        <v>608</v>
      </c>
      <c r="F26" s="41" t="s">
        <v>454</v>
      </c>
      <c r="G26" s="41" t="s">
        <v>525</v>
      </c>
      <c r="H26"/>
      <c r="I26" t="str">
        <f t="shared" si="0"/>
        <v xml:space="preserve"> BC-TRX BCTRX</v>
      </c>
    </row>
    <row r="27" spans="1:9" thickTop="1" thickBot="1" x14ac:dyDescent="0.3">
      <c r="A27" s="31" t="s">
        <v>319</v>
      </c>
      <c r="B27" s="35" t="s">
        <v>397</v>
      </c>
      <c r="C27" s="38" t="s">
        <v>419</v>
      </c>
      <c r="D27" s="7" t="s">
        <v>685</v>
      </c>
      <c r="E27" s="25" t="s">
        <v>608</v>
      </c>
      <c r="F27" s="41" t="s">
        <v>455</v>
      </c>
      <c r="G27" s="41" t="s">
        <v>526</v>
      </c>
      <c r="H27"/>
      <c r="I27" t="str">
        <f t="shared" si="0"/>
        <v xml:space="preserve"> CGR-D08 CGR-D16 CGR-D28 CGA-D54 CGR-D120 CGR-D220 CGR-D320 CGRD08 CGRD16 CGRD28 CGAD54 CGRD120 CGRD220 CGRD320</v>
      </c>
    </row>
    <row r="28" spans="1:9" thickTop="1" thickBot="1" x14ac:dyDescent="0.3">
      <c r="A28" s="31" t="s">
        <v>320</v>
      </c>
      <c r="B28" s="35" t="s">
        <v>398</v>
      </c>
      <c r="C28" s="38" t="s">
        <v>67</v>
      </c>
      <c r="D28" s="7" t="s">
        <v>610</v>
      </c>
      <c r="E28" s="25" t="s">
        <v>608</v>
      </c>
      <c r="F28" s="41" t="s">
        <v>456</v>
      </c>
      <c r="G28" s="41" t="s">
        <v>527</v>
      </c>
      <c r="H28"/>
      <c r="I28" t="str">
        <f t="shared" si="0"/>
        <v xml:space="preserve"> MH-65 MH65</v>
      </c>
    </row>
    <row r="29" spans="1:9" thickTop="1" thickBot="1" x14ac:dyDescent="0.3">
      <c r="A29" s="31" t="s">
        <v>321</v>
      </c>
      <c r="B29" s="35" t="s">
        <v>399</v>
      </c>
      <c r="C29" s="38" t="s">
        <v>68</v>
      </c>
      <c r="D29" s="7" t="s">
        <v>611</v>
      </c>
      <c r="E29" s="25" t="s">
        <v>608</v>
      </c>
      <c r="F29" s="41" t="s">
        <v>457</v>
      </c>
      <c r="G29" s="41" t="s">
        <v>528</v>
      </c>
      <c r="H29"/>
      <c r="I29" t="str">
        <f t="shared" si="0"/>
        <v xml:space="preserve"> MH-24 MH24</v>
      </c>
    </row>
    <row r="30" spans="1:9" thickTop="1" thickBot="1" x14ac:dyDescent="0.3">
      <c r="A30" s="31" t="s">
        <v>322</v>
      </c>
      <c r="B30" s="35" t="s">
        <v>400</v>
      </c>
      <c r="C30" s="38" t="s">
        <v>69</v>
      </c>
      <c r="D30" s="7" t="s">
        <v>612</v>
      </c>
      <c r="E30" s="25" t="s">
        <v>608</v>
      </c>
      <c r="F30" s="41" t="s">
        <v>458</v>
      </c>
      <c r="G30" s="41" t="s">
        <v>529</v>
      </c>
      <c r="H30"/>
      <c r="I30" t="str">
        <f t="shared" si="0"/>
        <v xml:space="preserve"> MH-25 MH-25A MH25 MH25A</v>
      </c>
    </row>
    <row r="31" spans="1:9" thickTop="1" thickBot="1" x14ac:dyDescent="0.3">
      <c r="A31" s="31" t="s">
        <v>323</v>
      </c>
      <c r="B31" s="35" t="s">
        <v>401</v>
      </c>
      <c r="C31" s="38" t="s">
        <v>70</v>
      </c>
      <c r="D31" s="7" t="s">
        <v>613</v>
      </c>
      <c r="E31" s="25" t="s">
        <v>608</v>
      </c>
      <c r="F31" s="41" t="s">
        <v>459</v>
      </c>
      <c r="G31" s="41" t="s">
        <v>530</v>
      </c>
      <c r="H31"/>
      <c r="I31" t="str">
        <f t="shared" si="0"/>
        <v xml:space="preserve"> MH-66 MH66</v>
      </c>
    </row>
    <row r="32" spans="1:9" thickTop="1" thickBot="1" x14ac:dyDescent="0.3">
      <c r="A32" s="31" t="s">
        <v>324</v>
      </c>
      <c r="B32" s="35" t="s">
        <v>402</v>
      </c>
      <c r="C32" s="38" t="s">
        <v>71</v>
      </c>
      <c r="D32" s="7" t="s">
        <v>614</v>
      </c>
      <c r="E32" s="25" t="s">
        <v>608</v>
      </c>
      <c r="F32" s="41" t="s">
        <v>460</v>
      </c>
      <c r="G32" s="41" t="s">
        <v>531</v>
      </c>
      <c r="H32"/>
      <c r="I32" t="str">
        <f t="shared" si="0"/>
        <v xml:space="preserve"> MH-27 MH27</v>
      </c>
    </row>
    <row r="33" spans="1:9" thickTop="1" thickBot="1" x14ac:dyDescent="0.3">
      <c r="A33" s="31" t="s">
        <v>325</v>
      </c>
      <c r="B33" s="35" t="s">
        <v>403</v>
      </c>
      <c r="C33" s="38" t="s">
        <v>72</v>
      </c>
      <c r="D33" s="7" t="s">
        <v>615</v>
      </c>
      <c r="E33" s="25" t="s">
        <v>608</v>
      </c>
      <c r="F33" s="41" t="s">
        <v>461</v>
      </c>
      <c r="G33" s="41" t="s">
        <v>532</v>
      </c>
      <c r="H33"/>
      <c r="I33" t="str">
        <f t="shared" si="0"/>
        <v xml:space="preserve"> MH-28 MH28</v>
      </c>
    </row>
    <row r="34" spans="1:9" thickTop="1" thickBot="1" x14ac:dyDescent="0.3">
      <c r="A34" s="31" t="s">
        <v>326</v>
      </c>
      <c r="B34" s="35" t="s">
        <v>89</v>
      </c>
      <c r="C34" s="38" t="s">
        <v>101</v>
      </c>
      <c r="D34" s="7" t="s">
        <v>616</v>
      </c>
      <c r="E34" s="25" t="s">
        <v>608</v>
      </c>
      <c r="F34" s="41" t="s">
        <v>462</v>
      </c>
      <c r="G34" s="41" t="s">
        <v>533</v>
      </c>
      <c r="H34"/>
      <c r="I34" t="str">
        <f t="shared" si="0"/>
        <v xml:space="preserve"> MH-67P MH-67 MH67P MH67</v>
      </c>
    </row>
    <row r="35" spans="1:9" thickTop="1" thickBot="1" x14ac:dyDescent="0.3">
      <c r="A35" s="31" t="s">
        <v>327</v>
      </c>
      <c r="B35" s="35" t="s">
        <v>404</v>
      </c>
      <c r="C35" s="38" t="s">
        <v>420</v>
      </c>
      <c r="D35" s="7" t="s">
        <v>617</v>
      </c>
      <c r="E35" s="25" t="s">
        <v>608</v>
      </c>
      <c r="F35" s="41" t="s">
        <v>463</v>
      </c>
      <c r="G35" s="41" t="s">
        <v>534</v>
      </c>
      <c r="H35"/>
      <c r="I35" t="str">
        <f t="shared" si="0"/>
        <v xml:space="preserve"> MH-31 MH31</v>
      </c>
    </row>
    <row r="36" spans="1:9" thickTop="1" thickBot="1" x14ac:dyDescent="0.3">
      <c r="A36" s="31" t="s">
        <v>328</v>
      </c>
      <c r="B36" s="35" t="s">
        <v>405</v>
      </c>
      <c r="C36" s="38" t="s">
        <v>64</v>
      </c>
      <c r="D36" s="7" t="s">
        <v>618</v>
      </c>
      <c r="E36" s="25" t="s">
        <v>608</v>
      </c>
      <c r="F36" s="41" t="s">
        <v>464</v>
      </c>
      <c r="G36" s="41" t="s">
        <v>535</v>
      </c>
      <c r="H36"/>
      <c r="I36" t="str">
        <f t="shared" si="0"/>
        <v xml:space="preserve"> MH-18 MH-19 MH18 MH19</v>
      </c>
    </row>
    <row r="37" spans="1:9" thickTop="1" thickBot="1" x14ac:dyDescent="0.3">
      <c r="A37" s="31" t="s">
        <v>329</v>
      </c>
      <c r="B37" s="35" t="s">
        <v>406</v>
      </c>
      <c r="C37" s="38" t="s">
        <v>65</v>
      </c>
      <c r="D37" s="7" t="s">
        <v>619</v>
      </c>
      <c r="E37" s="25" t="s">
        <v>608</v>
      </c>
      <c r="F37" s="41" t="s">
        <v>465</v>
      </c>
      <c r="G37" s="41" t="s">
        <v>536</v>
      </c>
      <c r="H37"/>
      <c r="I37" t="str">
        <f t="shared" si="0"/>
        <v xml:space="preserve"> MH-61 MH61</v>
      </c>
    </row>
    <row r="38" spans="1:9" thickTop="1" thickBot="1" x14ac:dyDescent="0.3">
      <c r="A38" s="31" t="s">
        <v>330</v>
      </c>
      <c r="B38" s="35" t="s">
        <v>143</v>
      </c>
      <c r="C38" s="38" t="s">
        <v>66</v>
      </c>
      <c r="D38" s="7" t="s">
        <v>620</v>
      </c>
      <c r="E38" s="25" t="s">
        <v>608</v>
      </c>
      <c r="F38" s="41" t="s">
        <v>466</v>
      </c>
      <c r="G38" s="41" t="s">
        <v>537</v>
      </c>
      <c r="H38"/>
      <c r="I38" t="str">
        <f t="shared" si="0"/>
        <v xml:space="preserve"> MH-62 MH62</v>
      </c>
    </row>
    <row r="39" spans="1:9" thickTop="1" thickBot="1" x14ac:dyDescent="0.3">
      <c r="A39" s="31" t="s">
        <v>331</v>
      </c>
      <c r="B39" s="35" t="s">
        <v>144</v>
      </c>
      <c r="C39" s="38" t="s">
        <v>96</v>
      </c>
      <c r="D39" s="7" t="s">
        <v>621</v>
      </c>
      <c r="E39" s="25" t="s">
        <v>608</v>
      </c>
      <c r="F39" s="41" t="s">
        <v>467</v>
      </c>
      <c r="G39" s="41" t="s">
        <v>538</v>
      </c>
      <c r="H39"/>
      <c r="I39" t="str">
        <f t="shared" si="0"/>
        <v xml:space="preserve"> MH-23 MH23</v>
      </c>
    </row>
    <row r="40" spans="1:9" thickTop="1" thickBot="1" x14ac:dyDescent="0.3">
      <c r="A40" s="31" t="s">
        <v>332</v>
      </c>
      <c r="B40" s="35" t="s">
        <v>407</v>
      </c>
      <c r="C40" s="38" t="s">
        <v>421</v>
      </c>
      <c r="D40" s="7" t="s">
        <v>622</v>
      </c>
      <c r="E40" s="25" t="s">
        <v>608</v>
      </c>
      <c r="F40" s="41" t="s">
        <v>468</v>
      </c>
      <c r="G40" s="41" t="s">
        <v>539</v>
      </c>
      <c r="H40"/>
      <c r="I40" t="str">
        <f t="shared" si="0"/>
        <v xml:space="preserve"> BC-CSG BC-TRG BCCSG BCTRG</v>
      </c>
    </row>
    <row r="41" spans="1:9" thickTop="1" thickBot="1" x14ac:dyDescent="0.3">
      <c r="A41" s="31" t="s">
        <v>333</v>
      </c>
      <c r="B41" s="35" t="s">
        <v>408</v>
      </c>
      <c r="C41" s="38" t="s">
        <v>422</v>
      </c>
      <c r="D41" s="7" t="s">
        <v>623</v>
      </c>
      <c r="E41" s="25" t="s">
        <v>608</v>
      </c>
      <c r="F41" s="41" t="s">
        <v>469</v>
      </c>
      <c r="G41" s="41" t="s">
        <v>540</v>
      </c>
      <c r="H41"/>
      <c r="I41" t="str">
        <f t="shared" si="0"/>
        <v xml:space="preserve"> CB-2LT CB-2LW CB2LT CB2LW</v>
      </c>
    </row>
    <row r="42" spans="1:9" thickTop="1" thickBot="1" x14ac:dyDescent="0.3">
      <c r="A42" s="31" t="s">
        <v>334</v>
      </c>
      <c r="B42" s="35" t="s">
        <v>409</v>
      </c>
      <c r="C42" s="38" t="s">
        <v>423</v>
      </c>
      <c r="D42" s="7" t="s">
        <v>624</v>
      </c>
      <c r="E42" s="25" t="s">
        <v>608</v>
      </c>
      <c r="F42" s="41" t="s">
        <v>470</v>
      </c>
      <c r="G42" s="41" t="s">
        <v>541</v>
      </c>
      <c r="H42"/>
      <c r="I42" t="str">
        <f t="shared" si="0"/>
        <v xml:space="preserve"> BC-TRW BCTRW</v>
      </c>
    </row>
    <row r="43" spans="1:9" thickTop="1" thickBot="1" x14ac:dyDescent="0.3">
      <c r="A43" s="31" t="s">
        <v>335</v>
      </c>
      <c r="B43" s="35" t="s">
        <v>410</v>
      </c>
      <c r="C43" s="38" t="s">
        <v>424</v>
      </c>
      <c r="D43" s="7" t="s">
        <v>625</v>
      </c>
      <c r="E43" s="25" t="s">
        <v>608</v>
      </c>
      <c r="F43" s="41" t="s">
        <v>471</v>
      </c>
      <c r="G43" s="41" t="s">
        <v>542</v>
      </c>
      <c r="H43"/>
      <c r="I43" t="str">
        <f t="shared" si="0"/>
        <v xml:space="preserve"> AHDBT-301 / AHDBT-302 AHDBT301 / AHDBT302</v>
      </c>
    </row>
    <row r="44" spans="1:9" thickTop="1" thickBot="1" x14ac:dyDescent="0.3">
      <c r="A44" s="31" t="s">
        <v>336</v>
      </c>
      <c r="B44" s="35" t="s">
        <v>411</v>
      </c>
      <c r="C44" s="38" t="s">
        <v>425</v>
      </c>
      <c r="D44" s="7" t="s">
        <v>626</v>
      </c>
      <c r="E44" s="25" t="s">
        <v>608</v>
      </c>
      <c r="F44" s="41" t="s">
        <v>472</v>
      </c>
      <c r="G44" s="41" t="s">
        <v>543</v>
      </c>
      <c r="H44"/>
      <c r="I44" t="str">
        <f t="shared" si="0"/>
        <v xml:space="preserve"> AHDBT-401 AHDBT401</v>
      </c>
    </row>
    <row r="45" spans="1:9" thickTop="1" thickBot="1" x14ac:dyDescent="0.3">
      <c r="A45" s="31" t="s">
        <v>337</v>
      </c>
      <c r="B45" s="35" t="s">
        <v>145</v>
      </c>
      <c r="C45" s="38" t="s">
        <v>73</v>
      </c>
      <c r="D45" s="7" t="s">
        <v>627</v>
      </c>
      <c r="E45" s="25" t="s">
        <v>608</v>
      </c>
      <c r="F45" s="41" t="s">
        <v>473</v>
      </c>
      <c r="G45" s="41" t="s">
        <v>542</v>
      </c>
      <c r="H45"/>
      <c r="I45" t="str">
        <f t="shared" si="0"/>
        <v xml:space="preserve"> AHDBT-301 / AHDBT-302 AHDBT301 / AHDBT302 </v>
      </c>
    </row>
    <row r="46" spans="1:9" thickTop="1" thickBot="1" x14ac:dyDescent="0.3">
      <c r="A46" s="31" t="s">
        <v>338</v>
      </c>
      <c r="B46" s="35" t="s">
        <v>412</v>
      </c>
      <c r="C46" s="38" t="s">
        <v>426</v>
      </c>
      <c r="D46" s="7" t="s">
        <v>626</v>
      </c>
      <c r="E46" s="25" t="s">
        <v>608</v>
      </c>
      <c r="F46" s="41" t="s">
        <v>472</v>
      </c>
      <c r="G46" s="41" t="s">
        <v>543</v>
      </c>
      <c r="H46"/>
      <c r="I46" t="str">
        <f t="shared" si="0"/>
        <v xml:space="preserve"> AHDBT-401 AHDBT401</v>
      </c>
    </row>
    <row r="47" spans="1:9" thickTop="1" thickBot="1" x14ac:dyDescent="0.3">
      <c r="A47" s="31" t="s">
        <v>339</v>
      </c>
      <c r="B47" s="35" t="s">
        <v>572</v>
      </c>
      <c r="C47" s="38" t="s">
        <v>79</v>
      </c>
      <c r="D47" s="7" t="s">
        <v>628</v>
      </c>
      <c r="E47" s="25" t="s">
        <v>608</v>
      </c>
      <c r="F47" s="41" t="s">
        <v>474</v>
      </c>
      <c r="G47" s="41" t="s">
        <v>544</v>
      </c>
      <c r="H47"/>
      <c r="I47" t="str">
        <f t="shared" si="0"/>
        <v xml:space="preserve"> D-BC109 K-BC109 DBC109 DBC109 KBC109 DBC109</v>
      </c>
    </row>
    <row r="48" spans="1:9" thickTop="1" thickBot="1" x14ac:dyDescent="0.3">
      <c r="A48" s="31" t="s">
        <v>340</v>
      </c>
      <c r="B48" s="35" t="s">
        <v>573</v>
      </c>
      <c r="C48" s="38" t="s">
        <v>74</v>
      </c>
      <c r="D48" s="7" t="s">
        <v>629</v>
      </c>
      <c r="E48" s="25" t="s">
        <v>608</v>
      </c>
      <c r="F48" s="41" t="s">
        <v>475</v>
      </c>
      <c r="G48" s="41" t="s">
        <v>545</v>
      </c>
      <c r="H48"/>
      <c r="I48" t="str">
        <f t="shared" si="0"/>
        <v xml:space="preserve"> LI-40C LI-41C Li-42C LI40C LI41C Li42C</v>
      </c>
    </row>
    <row r="49" spans="1:9" thickTop="1" thickBot="1" x14ac:dyDescent="0.3">
      <c r="A49" s="31" t="s">
        <v>341</v>
      </c>
      <c r="B49" s="35" t="s">
        <v>574</v>
      </c>
      <c r="C49" s="38" t="s">
        <v>75</v>
      </c>
      <c r="D49" s="7" t="s">
        <v>630</v>
      </c>
      <c r="E49" s="25" t="s">
        <v>608</v>
      </c>
      <c r="F49" s="41" t="s">
        <v>476</v>
      </c>
      <c r="G49" s="41" t="s">
        <v>546</v>
      </c>
      <c r="H49"/>
      <c r="I49" t="str">
        <f t="shared" si="0"/>
        <v>LI-50C / UC-50 LI50C / UC50</v>
      </c>
    </row>
    <row r="50" spans="1:9" thickTop="1" thickBot="1" x14ac:dyDescent="0.3">
      <c r="A50" s="31" t="s">
        <v>342</v>
      </c>
      <c r="B50" s="35" t="s">
        <v>575</v>
      </c>
      <c r="C50" s="38" t="s">
        <v>76</v>
      </c>
      <c r="D50" s="7" t="s">
        <v>631</v>
      </c>
      <c r="E50" s="25" t="s">
        <v>608</v>
      </c>
      <c r="F50" s="41" t="s">
        <v>477</v>
      </c>
      <c r="G50" s="41" t="s">
        <v>547</v>
      </c>
      <c r="H50"/>
      <c r="I50" t="str">
        <f t="shared" si="0"/>
        <v>LI-70C LI70C</v>
      </c>
    </row>
    <row r="51" spans="1:9" thickTop="1" thickBot="1" x14ac:dyDescent="0.3">
      <c r="A51" s="31" t="s">
        <v>343</v>
      </c>
      <c r="B51" s="35" t="s">
        <v>576</v>
      </c>
      <c r="C51" s="38" t="s">
        <v>77</v>
      </c>
      <c r="D51" s="7" t="s">
        <v>632</v>
      </c>
      <c r="E51" s="25" t="s">
        <v>608</v>
      </c>
      <c r="F51" s="41" t="s">
        <v>478</v>
      </c>
      <c r="G51" s="41" t="s">
        <v>548</v>
      </c>
      <c r="H51"/>
      <c r="I51" t="str">
        <f t="shared" si="0"/>
        <v>UC-90 UC90</v>
      </c>
    </row>
    <row r="52" spans="1:9" thickTop="1" thickBot="1" x14ac:dyDescent="0.3">
      <c r="A52" s="31" t="s">
        <v>344</v>
      </c>
      <c r="B52" s="35" t="s">
        <v>577</v>
      </c>
      <c r="C52" s="38" t="s">
        <v>78</v>
      </c>
      <c r="D52" s="7" t="s">
        <v>632</v>
      </c>
      <c r="E52" s="25" t="s">
        <v>608</v>
      </c>
      <c r="F52" s="41" t="s">
        <v>478</v>
      </c>
      <c r="G52" s="41" t="s">
        <v>548</v>
      </c>
      <c r="H52"/>
      <c r="I52" t="str">
        <f t="shared" si="0"/>
        <v>UC-90 UC90</v>
      </c>
    </row>
    <row r="53" spans="1:9" thickTop="1" thickBot="1" x14ac:dyDescent="0.3">
      <c r="A53" s="31" t="s">
        <v>345</v>
      </c>
      <c r="B53" s="35" t="s">
        <v>578</v>
      </c>
      <c r="C53" s="38" t="s">
        <v>82</v>
      </c>
      <c r="D53" s="7" t="s">
        <v>633</v>
      </c>
      <c r="E53" s="25" t="s">
        <v>608</v>
      </c>
      <c r="F53" s="41" t="s">
        <v>479</v>
      </c>
      <c r="G53" s="41" t="s">
        <v>549</v>
      </c>
      <c r="H53"/>
      <c r="I53" t="str">
        <f t="shared" si="0"/>
        <v>LC-E10 CBC-E10 LCE10 CBCE10</v>
      </c>
    </row>
    <row r="54" spans="1:9" thickTop="1" thickBot="1" x14ac:dyDescent="0.3">
      <c r="A54" s="32" t="s">
        <v>346</v>
      </c>
      <c r="B54" s="35" t="s">
        <v>579</v>
      </c>
      <c r="C54" s="39" t="s">
        <v>83</v>
      </c>
      <c r="D54" s="7" t="s">
        <v>634</v>
      </c>
      <c r="E54" s="25" t="s">
        <v>608</v>
      </c>
      <c r="F54" s="41" t="s">
        <v>480</v>
      </c>
      <c r="G54" s="41" t="s">
        <v>550</v>
      </c>
      <c r="H54"/>
      <c r="I54" t="str">
        <f t="shared" si="0"/>
        <v>LC-E12 LCE12</v>
      </c>
    </row>
    <row r="55" spans="1:9" thickTop="1" thickBot="1" x14ac:dyDescent="0.3">
      <c r="A55" s="31" t="s">
        <v>347</v>
      </c>
      <c r="B55" s="35" t="s">
        <v>580</v>
      </c>
      <c r="C55" s="38" t="s">
        <v>93</v>
      </c>
      <c r="D55" s="7" t="s">
        <v>635</v>
      </c>
      <c r="E55" s="25" t="s">
        <v>608</v>
      </c>
      <c r="F55" s="41" t="s">
        <v>481</v>
      </c>
      <c r="G55" s="41" t="s">
        <v>551</v>
      </c>
      <c r="H55"/>
      <c r="I55" t="str">
        <f t="shared" si="0"/>
        <v>LC-E5 CBC-E5 LCE5 CBCE5</v>
      </c>
    </row>
    <row r="56" spans="1:9" thickTop="1" thickBot="1" x14ac:dyDescent="0.3">
      <c r="A56" s="31" t="s">
        <v>348</v>
      </c>
      <c r="B56" s="35" t="s">
        <v>581</v>
      </c>
      <c r="C56" s="38" t="s">
        <v>80</v>
      </c>
      <c r="D56" s="7" t="s">
        <v>636</v>
      </c>
      <c r="E56" s="25" t="s">
        <v>608</v>
      </c>
      <c r="F56" s="41" t="s">
        <v>482</v>
      </c>
      <c r="G56" s="41" t="s">
        <v>552</v>
      </c>
      <c r="H56"/>
      <c r="I56" t="str">
        <f t="shared" si="0"/>
        <v>LC-E6 LCE6</v>
      </c>
    </row>
    <row r="57" spans="1:9" thickTop="1" thickBot="1" x14ac:dyDescent="0.3">
      <c r="A57" s="31" t="s">
        <v>349</v>
      </c>
      <c r="B57" s="35" t="s">
        <v>582</v>
      </c>
      <c r="C57" s="38" t="s">
        <v>81</v>
      </c>
      <c r="D57" s="7" t="s">
        <v>637</v>
      </c>
      <c r="E57" s="25" t="s">
        <v>608</v>
      </c>
      <c r="F57" s="41" t="s">
        <v>483</v>
      </c>
      <c r="G57" s="41" t="s">
        <v>553</v>
      </c>
      <c r="H57"/>
      <c r="I57" t="str">
        <f t="shared" si="0"/>
        <v xml:space="preserve">LC-E8 LCE8
</v>
      </c>
    </row>
    <row r="58" spans="1:9" thickTop="1" thickBot="1" x14ac:dyDescent="0.3">
      <c r="A58" s="31" t="s">
        <v>350</v>
      </c>
      <c r="B58" s="35" t="s">
        <v>583</v>
      </c>
      <c r="C58" s="38" t="s">
        <v>102</v>
      </c>
      <c r="D58" s="7" t="s">
        <v>638</v>
      </c>
      <c r="E58" s="25" t="s">
        <v>608</v>
      </c>
      <c r="F58" s="42" t="s">
        <v>484</v>
      </c>
      <c r="G58" s="42" t="s">
        <v>554</v>
      </c>
      <c r="H58"/>
      <c r="I58" t="str">
        <f t="shared" si="0"/>
        <v>CB-2LC  CB2LC </v>
      </c>
    </row>
    <row r="59" spans="1:9" thickTop="1" thickBot="1" x14ac:dyDescent="0.3">
      <c r="A59" s="31" t="s">
        <v>351</v>
      </c>
      <c r="B59" s="35" t="s">
        <v>584</v>
      </c>
      <c r="C59" s="38" t="s">
        <v>103</v>
      </c>
      <c r="D59" s="7" t="s">
        <v>639</v>
      </c>
      <c r="E59" s="25" t="s">
        <v>608</v>
      </c>
      <c r="F59" s="42" t="s">
        <v>485</v>
      </c>
      <c r="G59" s="42" t="s">
        <v>555</v>
      </c>
      <c r="H59"/>
      <c r="I59" t="str">
        <f t="shared" si="0"/>
        <v>CB-2LD CB2LD</v>
      </c>
    </row>
    <row r="60" spans="1:9" thickTop="1" thickBot="1" x14ac:dyDescent="0.3">
      <c r="A60" s="31" t="s">
        <v>352</v>
      </c>
      <c r="B60" s="35" t="s">
        <v>585</v>
      </c>
      <c r="C60" s="38" t="s">
        <v>427</v>
      </c>
      <c r="D60" s="7" t="s">
        <v>640</v>
      </c>
      <c r="E60" s="25" t="s">
        <v>608</v>
      </c>
      <c r="F60" s="41" t="s">
        <v>486</v>
      </c>
      <c r="G60" s="41" t="s">
        <v>556</v>
      </c>
      <c r="H60"/>
      <c r="I60" t="str">
        <f t="shared" si="0"/>
        <v>CB-2LE CB2LE</v>
      </c>
    </row>
    <row r="61" spans="1:9" thickTop="1" thickBot="1" x14ac:dyDescent="0.3">
      <c r="A61" s="31" t="s">
        <v>353</v>
      </c>
      <c r="B61" s="35" t="s">
        <v>586</v>
      </c>
      <c r="C61" s="38" t="s">
        <v>104</v>
      </c>
      <c r="D61" s="7" t="s">
        <v>641</v>
      </c>
      <c r="E61" s="25" t="s">
        <v>608</v>
      </c>
      <c r="F61" s="41" t="s">
        <v>469</v>
      </c>
      <c r="G61" s="41" t="s">
        <v>557</v>
      </c>
      <c r="H61"/>
      <c r="I61" t="str">
        <f t="shared" si="0"/>
        <v>CB-2LT CB-2LW CB2LT CB2LW</v>
      </c>
    </row>
    <row r="62" spans="1:9" thickTop="1" thickBot="1" x14ac:dyDescent="0.3">
      <c r="A62" s="31" t="s">
        <v>354</v>
      </c>
      <c r="B62" s="35" t="s">
        <v>587</v>
      </c>
      <c r="C62" s="38" t="s">
        <v>105</v>
      </c>
      <c r="D62" s="7" t="s">
        <v>642</v>
      </c>
      <c r="E62" s="25" t="s">
        <v>608</v>
      </c>
      <c r="F62" s="41" t="s">
        <v>487</v>
      </c>
      <c r="G62" s="41" t="s">
        <v>558</v>
      </c>
      <c r="H62"/>
      <c r="I62" t="str">
        <f t="shared" si="0"/>
        <v>CB-2LV CB2LV</v>
      </c>
    </row>
    <row r="63" spans="1:9" thickTop="1" thickBot="1" x14ac:dyDescent="0.3">
      <c r="A63" s="31" t="s">
        <v>355</v>
      </c>
      <c r="B63" s="35" t="s">
        <v>588</v>
      </c>
      <c r="C63" s="38" t="s">
        <v>106</v>
      </c>
      <c r="D63" s="7" t="s">
        <v>643</v>
      </c>
      <c r="E63" s="25" t="s">
        <v>608</v>
      </c>
      <c r="F63" s="41" t="s">
        <v>488</v>
      </c>
      <c r="G63" s="41" t="s">
        <v>559</v>
      </c>
      <c r="H63"/>
      <c r="I63" t="str">
        <f t="shared" si="0"/>
        <v>CB-2LX CB2LX</v>
      </c>
    </row>
    <row r="64" spans="1:9" thickTop="1" thickBot="1" x14ac:dyDescent="0.3">
      <c r="A64" s="31" t="s">
        <v>356</v>
      </c>
      <c r="B64" s="35" t="s">
        <v>589</v>
      </c>
      <c r="C64" s="38" t="s">
        <v>107</v>
      </c>
      <c r="D64" s="7" t="s">
        <v>644</v>
      </c>
      <c r="E64" s="25" t="s">
        <v>608</v>
      </c>
      <c r="F64" s="41" t="s">
        <v>489</v>
      </c>
      <c r="G64" s="41" t="s">
        <v>560</v>
      </c>
      <c r="H64"/>
      <c r="I64" t="str">
        <f t="shared" si="0"/>
        <v>NB-6L NB-6LH NB6L NB6LH</v>
      </c>
    </row>
    <row r="65" spans="1:9" thickTop="1" thickBot="1" x14ac:dyDescent="0.3">
      <c r="A65" s="31" t="s">
        <v>357</v>
      </c>
      <c r="B65" s="35" t="s">
        <v>590</v>
      </c>
      <c r="C65" s="38" t="s">
        <v>108</v>
      </c>
      <c r="D65" s="7" t="s">
        <v>645</v>
      </c>
      <c r="E65" s="25" t="s">
        <v>608</v>
      </c>
      <c r="F65" s="41" t="s">
        <v>490</v>
      </c>
      <c r="G65" s="41" t="s">
        <v>561</v>
      </c>
      <c r="H65"/>
      <c r="I65" t="str">
        <f t="shared" si="0"/>
        <v>CB-2LZ CB2LZ</v>
      </c>
    </row>
    <row r="66" spans="1:9" thickTop="1" thickBot="1" x14ac:dyDescent="0.3">
      <c r="A66" s="31" t="s">
        <v>358</v>
      </c>
      <c r="B66" s="35" t="s">
        <v>591</v>
      </c>
      <c r="C66" s="38" t="s">
        <v>109</v>
      </c>
      <c r="D66" s="7" t="s">
        <v>646</v>
      </c>
      <c r="E66" s="25" t="s">
        <v>608</v>
      </c>
      <c r="F66" s="41" t="s">
        <v>491</v>
      </c>
      <c r="G66" s="41" t="s">
        <v>562</v>
      </c>
      <c r="H66"/>
      <c r="I66" t="str">
        <f t="shared" si="0"/>
        <v> CB-2LA  CB2LA</v>
      </c>
    </row>
    <row r="67" spans="1:9" thickTop="1" thickBot="1" x14ac:dyDescent="0.3">
      <c r="A67" s="31" t="s">
        <v>359</v>
      </c>
      <c r="B67" s="35" t="s">
        <v>592</v>
      </c>
      <c r="C67" s="38" t="s">
        <v>110</v>
      </c>
      <c r="D67" s="7" t="s">
        <v>647</v>
      </c>
      <c r="E67" s="25" t="s">
        <v>608</v>
      </c>
      <c r="F67" s="42" t="s">
        <v>492</v>
      </c>
      <c r="G67" s="42" t="s">
        <v>563</v>
      </c>
      <c r="H67"/>
      <c r="I67" t="str">
        <f t="shared" ref="I67:I79" si="1">CONCATENATE(G67," ",F67)</f>
        <v>CB-2LB CB2LB</v>
      </c>
    </row>
    <row r="68" spans="1:9" thickTop="1" thickBot="1" x14ac:dyDescent="0.3">
      <c r="A68" s="31" t="s">
        <v>360</v>
      </c>
      <c r="B68" s="35" t="s">
        <v>593</v>
      </c>
      <c r="C68" s="38" t="s">
        <v>111</v>
      </c>
      <c r="D68" s="7" t="s">
        <v>648</v>
      </c>
      <c r="E68" s="25" t="s">
        <v>608</v>
      </c>
      <c r="F68" s="41" t="s">
        <v>493</v>
      </c>
      <c r="G68" s="41" t="s">
        <v>564</v>
      </c>
      <c r="H68"/>
      <c r="I68" t="str">
        <f t="shared" si="1"/>
        <v>BC-45 BC-45A BC-45W BC-45B BC45 BC45A BC45W BC45B</v>
      </c>
    </row>
    <row r="69" spans="1:9" thickTop="1" thickBot="1" x14ac:dyDescent="0.3">
      <c r="A69" s="31" t="s">
        <v>361</v>
      </c>
      <c r="B69" s="35" t="s">
        <v>594</v>
      </c>
      <c r="C69" s="38" t="s">
        <v>113</v>
      </c>
      <c r="D69" s="7" t="s">
        <v>649</v>
      </c>
      <c r="E69" s="25" t="s">
        <v>608</v>
      </c>
      <c r="F69" s="41" t="s">
        <v>494</v>
      </c>
      <c r="G69" s="41" t="s">
        <v>565</v>
      </c>
      <c r="H69"/>
      <c r="I69" t="str">
        <f t="shared" si="1"/>
        <v>BC-50 BC-45W BC50 BC45W</v>
      </c>
    </row>
    <row r="70" spans="1:9" thickTop="1" thickBot="1" x14ac:dyDescent="0.3">
      <c r="A70" s="31" t="s">
        <v>362</v>
      </c>
      <c r="B70" s="35" t="s">
        <v>595</v>
      </c>
      <c r="C70" s="38" t="s">
        <v>114</v>
      </c>
      <c r="D70" s="7" t="s">
        <v>650</v>
      </c>
      <c r="E70" s="25" t="s">
        <v>608</v>
      </c>
      <c r="F70" s="41" t="s">
        <v>495</v>
      </c>
      <c r="G70" s="41" t="s">
        <v>566</v>
      </c>
      <c r="H70"/>
      <c r="I70" t="str">
        <f t="shared" si="1"/>
        <v>BC-85 BC85</v>
      </c>
    </row>
    <row r="71" spans="1:9" thickTop="1" thickBot="1" x14ac:dyDescent="0.3">
      <c r="A71" s="31" t="s">
        <v>363</v>
      </c>
      <c r="B71" s="35" t="s">
        <v>596</v>
      </c>
      <c r="C71" s="38" t="s">
        <v>115</v>
      </c>
      <c r="D71" s="7" t="s">
        <v>651</v>
      </c>
      <c r="E71" s="25" t="s">
        <v>608</v>
      </c>
      <c r="F71" s="41" t="s">
        <v>496</v>
      </c>
      <c r="G71" s="41" t="s">
        <v>567</v>
      </c>
      <c r="H71"/>
      <c r="I71" t="str">
        <f t="shared" si="1"/>
        <v>BC-65S BC-65N BC-95 BC65S BC65N BC95</v>
      </c>
    </row>
    <row r="72" spans="1:9" thickTop="1" thickBot="1" x14ac:dyDescent="0.3">
      <c r="A72" s="31" t="s">
        <v>364</v>
      </c>
      <c r="B72" s="35" t="s">
        <v>597</v>
      </c>
      <c r="C72" s="38" t="s">
        <v>428</v>
      </c>
      <c r="D72" s="7" t="s">
        <v>652</v>
      </c>
      <c r="E72" s="25" t="s">
        <v>608</v>
      </c>
      <c r="F72" s="41"/>
      <c r="G72" s="41"/>
      <c r="H72"/>
      <c r="I72" t="str">
        <f t="shared" si="1"/>
        <v xml:space="preserve"> </v>
      </c>
    </row>
    <row r="73" spans="1:9" thickTop="1" thickBot="1" x14ac:dyDescent="0.3">
      <c r="A73" s="31" t="s">
        <v>365</v>
      </c>
      <c r="B73" s="35" t="s">
        <v>598</v>
      </c>
      <c r="C73" s="38" t="s">
        <v>119</v>
      </c>
      <c r="D73" s="7" t="s">
        <v>652</v>
      </c>
      <c r="E73" s="25" t="s">
        <v>608</v>
      </c>
      <c r="F73" s="41"/>
      <c r="G73" s="41"/>
      <c r="H73"/>
      <c r="I73" t="str">
        <f t="shared" si="1"/>
        <v xml:space="preserve"> </v>
      </c>
    </row>
    <row r="74" spans="1:9" thickTop="1" thickBot="1" x14ac:dyDescent="0.3">
      <c r="A74" s="31" t="s">
        <v>366</v>
      </c>
      <c r="B74" s="35" t="s">
        <v>599</v>
      </c>
      <c r="C74" s="38" t="s">
        <v>126</v>
      </c>
      <c r="D74" s="7" t="s">
        <v>653</v>
      </c>
      <c r="E74" s="25" t="s">
        <v>608</v>
      </c>
      <c r="F74" s="41" t="s">
        <v>497</v>
      </c>
      <c r="G74" s="41" t="s">
        <v>568</v>
      </c>
      <c r="H74"/>
      <c r="I74" t="str">
        <f t="shared" si="1"/>
        <v>BC-W126 BCW126</v>
      </c>
    </row>
    <row r="75" spans="1:9" thickTop="1" thickBot="1" x14ac:dyDescent="0.3">
      <c r="A75" s="31" t="s">
        <v>367</v>
      </c>
      <c r="B75" s="35" t="s">
        <v>600</v>
      </c>
      <c r="C75" s="38" t="s">
        <v>127</v>
      </c>
      <c r="D75" s="7" t="s">
        <v>652</v>
      </c>
      <c r="E75" s="25" t="s">
        <v>608</v>
      </c>
      <c r="F75" s="41"/>
      <c r="G75" s="41"/>
      <c r="H75"/>
      <c r="I75" t="str">
        <f t="shared" si="1"/>
        <v xml:space="preserve"> </v>
      </c>
    </row>
    <row r="76" spans="1:9" thickTop="1" thickBot="1" x14ac:dyDescent="0.3">
      <c r="A76" s="31" t="s">
        <v>368</v>
      </c>
      <c r="B76" s="35" t="s">
        <v>601</v>
      </c>
      <c r="C76" s="38" t="s">
        <v>429</v>
      </c>
      <c r="D76" s="7" t="s">
        <v>652</v>
      </c>
      <c r="E76" s="25" t="s">
        <v>608</v>
      </c>
      <c r="F76" s="41"/>
      <c r="G76" s="41"/>
      <c r="H76"/>
      <c r="I76" t="str">
        <f t="shared" si="1"/>
        <v xml:space="preserve"> </v>
      </c>
    </row>
    <row r="77" spans="1:9" thickTop="1" thickBot="1" x14ac:dyDescent="0.3">
      <c r="A77" s="31" t="s">
        <v>369</v>
      </c>
      <c r="B77" s="35" t="s">
        <v>602</v>
      </c>
      <c r="C77" s="38" t="s">
        <v>130</v>
      </c>
      <c r="D77" s="7" t="s">
        <v>654</v>
      </c>
      <c r="E77" s="25" t="s">
        <v>608</v>
      </c>
      <c r="F77" s="41" t="s">
        <v>498</v>
      </c>
      <c r="G77" s="41" t="s">
        <v>569</v>
      </c>
      <c r="H77"/>
      <c r="I77" t="str">
        <f t="shared" si="1"/>
        <v>VW-BC10 VWBC10</v>
      </c>
    </row>
    <row r="78" spans="1:9" thickTop="1" thickBot="1" x14ac:dyDescent="0.3">
      <c r="A78" s="31" t="s">
        <v>370</v>
      </c>
      <c r="B78" s="35" t="s">
        <v>603</v>
      </c>
      <c r="C78" s="38" t="s">
        <v>132</v>
      </c>
      <c r="D78" s="7" t="s">
        <v>655</v>
      </c>
      <c r="E78" s="25" t="s">
        <v>608</v>
      </c>
      <c r="F78" s="41" t="s">
        <v>499</v>
      </c>
      <c r="G78" s="41" t="s">
        <v>570</v>
      </c>
      <c r="H78"/>
      <c r="I78" t="str">
        <f t="shared" si="1"/>
        <v>VW-BC20 VWBC20</v>
      </c>
    </row>
    <row r="79" spans="1:9" thickTop="1" thickBot="1" x14ac:dyDescent="0.3">
      <c r="A79" s="31" t="s">
        <v>371</v>
      </c>
      <c r="B79" s="35" t="s">
        <v>604</v>
      </c>
      <c r="C79" s="38" t="s">
        <v>134</v>
      </c>
      <c r="D79" s="7" t="s">
        <v>656</v>
      </c>
      <c r="E79" s="25" t="s">
        <v>608</v>
      </c>
      <c r="F79" s="41" t="s">
        <v>500</v>
      </c>
      <c r="G79" s="41" t="s">
        <v>571</v>
      </c>
      <c r="H79"/>
      <c r="I79" t="str">
        <f t="shared" si="1"/>
        <v>AA-VF8U AA-VF8USM AAVF8U AAVF8USM</v>
      </c>
    </row>
  </sheetData>
  <conditionalFormatting sqref="A1:B79 F80 E1:G79">
    <cfRule type="duplicateValues" dxfId="1" priority="2"/>
  </conditionalFormatting>
  <conditionalFormatting sqref="C1:C7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Charger list</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2016-08-17T16:04:31Z</dcterms:modified>
</cp:coreProperties>
</file>